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涂装咨询基础 Fundamentals of Painting Consultation\"/>
    </mc:Choice>
  </mc:AlternateContent>
  <xr:revisionPtr revIDLastSave="0" documentId="13_ncr:1_{F79E4D03-69A5-4AC0-934D-093F2DBE4390}" xr6:coauthVersionLast="47" xr6:coauthVersionMax="47" xr10:uidLastSave="{00000000-0000-0000-0000-000000000000}"/>
  <bookViews>
    <workbookView xWindow="-98" yWindow="-98" windowWidth="19095" windowHeight="12075" activeTab="1" xr2:uid="{0B22D490-F9EB-4788-9DB2-B19CAA31A43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98" i="1" l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N216" i="1"/>
  <c r="O216" i="1" s="1"/>
  <c r="O215" i="1"/>
  <c r="N215" i="1"/>
  <c r="M215" i="1"/>
  <c r="N214" i="1"/>
  <c r="O214" i="1" s="1"/>
  <c r="M214" i="1"/>
  <c r="O213" i="1"/>
  <c r="O212" i="1"/>
  <c r="O211" i="1"/>
  <c r="O210" i="1"/>
  <c r="N209" i="1"/>
  <c r="O209" i="1" s="1"/>
  <c r="M209" i="1"/>
  <c r="O208" i="1"/>
  <c r="N208" i="1"/>
  <c r="M208" i="1"/>
  <c r="N207" i="1"/>
  <c r="O207" i="1" s="1"/>
  <c r="M207" i="1"/>
  <c r="N206" i="1"/>
  <c r="O206" i="1" s="1"/>
  <c r="M206" i="1"/>
  <c r="N205" i="1"/>
  <c r="O205" i="1" s="1"/>
  <c r="M205" i="1"/>
  <c r="N204" i="1"/>
  <c r="O204" i="1" s="1"/>
  <c r="M204" i="1"/>
  <c r="N203" i="1"/>
  <c r="O203" i="1" s="1"/>
  <c r="M203" i="1"/>
  <c r="N202" i="1"/>
  <c r="O202" i="1" s="1"/>
  <c r="M202" i="1"/>
  <c r="M201" i="1"/>
  <c r="O201" i="1" s="1"/>
  <c r="N200" i="1"/>
  <c r="O200" i="1" s="1"/>
  <c r="M200" i="1"/>
  <c r="N199" i="1"/>
  <c r="O199" i="1" s="1"/>
  <c r="M199" i="1"/>
  <c r="N198" i="1"/>
  <c r="O198" i="1" s="1"/>
  <c r="M198" i="1"/>
  <c r="M197" i="1"/>
  <c r="O197" i="1" s="1"/>
  <c r="N196" i="1"/>
  <c r="O196" i="1" s="1"/>
  <c r="M196" i="1"/>
  <c r="N195" i="1"/>
  <c r="O195" i="1" s="1"/>
  <c r="M195" i="1"/>
  <c r="O194" i="1"/>
  <c r="N194" i="1"/>
  <c r="M194" i="1"/>
  <c r="N193" i="1"/>
  <c r="O193" i="1" s="1"/>
  <c r="M193" i="1"/>
  <c r="N192" i="1"/>
  <c r="O192" i="1" s="1"/>
  <c r="M192" i="1"/>
  <c r="N191" i="1"/>
  <c r="O191" i="1" s="1"/>
  <c r="M191" i="1"/>
  <c r="N190" i="1"/>
  <c r="O190" i="1" s="1"/>
  <c r="M190" i="1"/>
  <c r="N189" i="1"/>
  <c r="O189" i="1" s="1"/>
  <c r="M189" i="1"/>
  <c r="N188" i="1"/>
  <c r="O188" i="1" s="1"/>
  <c r="M188" i="1"/>
  <c r="N187" i="1"/>
  <c r="O187" i="1" s="1"/>
  <c r="M187" i="1"/>
  <c r="O186" i="1"/>
  <c r="N186" i="1"/>
  <c r="M186" i="1"/>
  <c r="O185" i="1"/>
  <c r="N185" i="1"/>
  <c r="M185" i="1"/>
  <c r="M184" i="1"/>
  <c r="O184" i="1" s="1"/>
  <c r="N183" i="1"/>
  <c r="O183" i="1" s="1"/>
  <c r="M183" i="1"/>
  <c r="N182" i="1"/>
  <c r="O182" i="1" s="1"/>
  <c r="M182" i="1"/>
  <c r="N181" i="1"/>
  <c r="O181" i="1" s="1"/>
  <c r="M181" i="1"/>
  <c r="N180" i="1"/>
  <c r="O180" i="1" s="1"/>
  <c r="M180" i="1"/>
  <c r="O179" i="1"/>
  <c r="N179" i="1"/>
  <c r="M179" i="1"/>
  <c r="O178" i="1"/>
  <c r="N178" i="1"/>
  <c r="M178" i="1"/>
  <c r="N177" i="1"/>
  <c r="O177" i="1" s="1"/>
  <c r="M177" i="1"/>
  <c r="N176" i="1"/>
  <c r="O176" i="1" s="1"/>
  <c r="M176" i="1"/>
  <c r="M175" i="1"/>
  <c r="O175" i="1" s="1"/>
  <c r="N174" i="1"/>
  <c r="O174" i="1" s="1"/>
  <c r="M174" i="1"/>
  <c r="N173" i="1"/>
  <c r="O173" i="1" s="1"/>
  <c r="M173" i="1"/>
  <c r="O172" i="1"/>
  <c r="N172" i="1"/>
  <c r="M172" i="1"/>
  <c r="O171" i="1"/>
  <c r="N171" i="1"/>
  <c r="M171" i="1"/>
  <c r="N170" i="1"/>
  <c r="O170" i="1" s="1"/>
  <c r="M170" i="1"/>
  <c r="M169" i="1"/>
  <c r="O169" i="1" s="1"/>
  <c r="N168" i="1"/>
  <c r="O168" i="1" s="1"/>
  <c r="M168" i="1"/>
  <c r="N167" i="1"/>
  <c r="O167" i="1" s="1"/>
  <c r="M167" i="1"/>
  <c r="M166" i="1"/>
  <c r="O166" i="1" s="1"/>
  <c r="N165" i="1"/>
  <c r="O165" i="1" s="1"/>
  <c r="M165" i="1"/>
  <c r="N164" i="1"/>
  <c r="O164" i="1" s="1"/>
  <c r="M164" i="1"/>
  <c r="N163" i="1"/>
  <c r="O163" i="1" s="1"/>
  <c r="M163" i="1"/>
  <c r="N162" i="1"/>
  <c r="O162" i="1" s="1"/>
  <c r="M162" i="1"/>
  <c r="N161" i="1"/>
  <c r="O161" i="1" s="1"/>
  <c r="M161" i="1"/>
  <c r="N160" i="1"/>
  <c r="O160" i="1" s="1"/>
  <c r="M160" i="1"/>
  <c r="N159" i="1"/>
  <c r="O159" i="1" s="1"/>
  <c r="M159" i="1"/>
  <c r="O158" i="1"/>
  <c r="N158" i="1"/>
  <c r="M158" i="1"/>
  <c r="O157" i="1"/>
  <c r="N157" i="1"/>
  <c r="M157" i="1"/>
  <c r="N156" i="1"/>
  <c r="O156" i="1" s="1"/>
  <c r="M156" i="1"/>
  <c r="M155" i="1"/>
  <c r="O155" i="1" s="1"/>
  <c r="N154" i="1"/>
  <c r="O154" i="1" s="1"/>
  <c r="M154" i="1"/>
  <c r="N153" i="1"/>
  <c r="O153" i="1" s="1"/>
  <c r="M153" i="1"/>
  <c r="N152" i="1"/>
  <c r="O152" i="1" s="1"/>
  <c r="M152" i="1"/>
  <c r="O151" i="1"/>
  <c r="N151" i="1"/>
  <c r="M151" i="1"/>
  <c r="O150" i="1"/>
  <c r="N150" i="1"/>
  <c r="M150" i="1"/>
  <c r="N149" i="1"/>
  <c r="O149" i="1" s="1"/>
  <c r="M149" i="1"/>
  <c r="M148" i="1"/>
  <c r="O148" i="1" s="1"/>
  <c r="M147" i="1"/>
  <c r="O147" i="1" s="1"/>
  <c r="M146" i="1"/>
  <c r="O146" i="1" s="1"/>
  <c r="N145" i="1"/>
  <c r="O145" i="1" s="1"/>
  <c r="M145" i="1"/>
  <c r="N144" i="1"/>
  <c r="M144" i="1"/>
  <c r="O144" i="1" s="1"/>
  <c r="N143" i="1"/>
  <c r="O143" i="1" s="1"/>
  <c r="M143" i="1"/>
  <c r="N142" i="1"/>
  <c r="O142" i="1" s="1"/>
  <c r="M142" i="1"/>
  <c r="N141" i="1"/>
  <c r="O141" i="1" s="1"/>
  <c r="M141" i="1"/>
  <c r="N140" i="1"/>
  <c r="O140" i="1" s="1"/>
  <c r="M140" i="1"/>
  <c r="M139" i="1"/>
  <c r="O139" i="1" s="1"/>
  <c r="M138" i="1"/>
  <c r="O138" i="1" s="1"/>
  <c r="N137" i="1"/>
  <c r="O137" i="1" s="1"/>
  <c r="M137" i="1"/>
  <c r="O136" i="1"/>
  <c r="M136" i="1"/>
  <c r="M135" i="1"/>
  <c r="O135" i="1" s="1"/>
  <c r="N134" i="1"/>
  <c r="O134" i="1" s="1"/>
  <c r="M134" i="1"/>
  <c r="N133" i="1"/>
  <c r="O133" i="1" s="1"/>
  <c r="M133" i="1"/>
  <c r="N132" i="1"/>
  <c r="O132" i="1" s="1"/>
  <c r="M132" i="1"/>
  <c r="M131" i="1"/>
  <c r="O131" i="1" s="1"/>
  <c r="M130" i="1"/>
  <c r="O130" i="1" s="1"/>
  <c r="M129" i="1"/>
  <c r="O129" i="1" s="1"/>
  <c r="N128" i="1"/>
  <c r="O128" i="1" s="1"/>
  <c r="M128" i="1"/>
  <c r="N127" i="1"/>
  <c r="O127" i="1" s="1"/>
  <c r="M127" i="1"/>
  <c r="N126" i="1"/>
  <c r="O126" i="1" s="1"/>
  <c r="M126" i="1"/>
  <c r="N125" i="1"/>
  <c r="O125" i="1" s="1"/>
  <c r="M125" i="1"/>
  <c r="N124" i="1"/>
  <c r="O124" i="1" s="1"/>
  <c r="M124" i="1"/>
  <c r="N123" i="1"/>
  <c r="O123" i="1" s="1"/>
  <c r="M123" i="1"/>
  <c r="N122" i="1"/>
  <c r="O122" i="1" s="1"/>
  <c r="M122" i="1"/>
  <c r="O121" i="1"/>
  <c r="N121" i="1"/>
  <c r="M121" i="1"/>
  <c r="O120" i="1"/>
  <c r="M120" i="1"/>
  <c r="N119" i="1"/>
  <c r="O119" i="1" s="1"/>
  <c r="M119" i="1"/>
  <c r="N118" i="1"/>
  <c r="O118" i="1" s="1"/>
  <c r="M118" i="1"/>
  <c r="N117" i="1"/>
  <c r="O117" i="1" s="1"/>
  <c r="M117" i="1"/>
  <c r="N116" i="1"/>
  <c r="O116" i="1" s="1"/>
  <c r="M116" i="1"/>
  <c r="N115" i="1"/>
  <c r="O115" i="1" s="1"/>
  <c r="M115" i="1"/>
  <c r="O114" i="1"/>
  <c r="N114" i="1"/>
  <c r="M114" i="1"/>
  <c r="O113" i="1"/>
  <c r="N113" i="1"/>
  <c r="M113" i="1"/>
  <c r="M112" i="1"/>
  <c r="O112" i="1" s="1"/>
  <c r="N111" i="1"/>
  <c r="O111" i="1" s="1"/>
  <c r="M111" i="1"/>
  <c r="N110" i="1"/>
  <c r="O110" i="1" s="1"/>
  <c r="M110" i="1"/>
  <c r="N109" i="1"/>
  <c r="O109" i="1" s="1"/>
  <c r="M109" i="1"/>
  <c r="N108" i="1"/>
  <c r="O108" i="1" s="1"/>
  <c r="M108" i="1"/>
  <c r="O107" i="1"/>
  <c r="N107" i="1"/>
  <c r="M107" i="1"/>
  <c r="O106" i="1"/>
  <c r="N106" i="1"/>
  <c r="M106" i="1"/>
  <c r="N105" i="1"/>
  <c r="O105" i="1" s="1"/>
  <c r="M105" i="1"/>
  <c r="N104" i="1"/>
  <c r="O104" i="1" s="1"/>
  <c r="M104" i="1"/>
  <c r="N103" i="1"/>
  <c r="O103" i="1" s="1"/>
  <c r="M103" i="1"/>
  <c r="N102" i="1"/>
  <c r="O102" i="1" s="1"/>
  <c r="M102" i="1"/>
  <c r="N101" i="1"/>
  <c r="M101" i="1"/>
  <c r="O101" i="1" s="1"/>
  <c r="N100" i="1"/>
  <c r="M100" i="1"/>
  <c r="O100" i="1" s="1"/>
  <c r="N99" i="1"/>
  <c r="O99" i="1" s="1"/>
  <c r="M99" i="1"/>
  <c r="N98" i="1"/>
  <c r="O98" i="1" s="1"/>
  <c r="M98" i="1"/>
  <c r="N97" i="1"/>
  <c r="O97" i="1" s="1"/>
  <c r="M97" i="1"/>
  <c r="N96" i="1"/>
  <c r="O96" i="1" s="1"/>
  <c r="M96" i="1"/>
  <c r="O95" i="1"/>
  <c r="N95" i="1"/>
  <c r="M95" i="1"/>
  <c r="N94" i="1"/>
  <c r="O94" i="1" s="1"/>
  <c r="M94" i="1"/>
  <c r="N93" i="1"/>
  <c r="O93" i="1" s="1"/>
  <c r="M93" i="1"/>
  <c r="N92" i="1"/>
  <c r="O92" i="1" s="1"/>
  <c r="M92" i="1"/>
  <c r="N91" i="1"/>
  <c r="O91" i="1" s="1"/>
  <c r="M91" i="1"/>
  <c r="M90" i="1"/>
  <c r="O90" i="1" s="1"/>
  <c r="M89" i="1"/>
  <c r="O89" i="1" s="1"/>
  <c r="N88" i="1"/>
  <c r="O88" i="1" s="1"/>
  <c r="M88" i="1"/>
  <c r="N87" i="1"/>
  <c r="M87" i="1"/>
  <c r="O87" i="1" s="1"/>
  <c r="N86" i="1"/>
  <c r="M86" i="1"/>
  <c r="O86" i="1" s="1"/>
  <c r="N85" i="1"/>
  <c r="O85" i="1" s="1"/>
  <c r="M85" i="1"/>
  <c r="N84" i="1"/>
  <c r="O84" i="1" s="1"/>
  <c r="M84" i="1"/>
  <c r="M83" i="1"/>
  <c r="O83" i="1" s="1"/>
  <c r="M82" i="1"/>
  <c r="O82" i="1" s="1"/>
  <c r="N81" i="1"/>
  <c r="O81" i="1" s="1"/>
  <c r="M81" i="1"/>
  <c r="M80" i="1"/>
  <c r="O80" i="1" s="1"/>
  <c r="N79" i="1"/>
  <c r="O79" i="1" s="1"/>
  <c r="M79" i="1"/>
  <c r="M78" i="1"/>
  <c r="O78" i="1" s="1"/>
  <c r="M77" i="1"/>
  <c r="O77" i="1" s="1"/>
  <c r="M76" i="1"/>
  <c r="O76" i="1" s="1"/>
  <c r="M75" i="1"/>
  <c r="O75" i="1" s="1"/>
  <c r="N74" i="1"/>
  <c r="O74" i="1" s="1"/>
  <c r="M74" i="1"/>
  <c r="N73" i="1"/>
  <c r="O73" i="1" s="1"/>
  <c r="M73" i="1"/>
  <c r="O72" i="1"/>
  <c r="M72" i="1"/>
  <c r="O71" i="1"/>
  <c r="M71" i="1"/>
  <c r="O70" i="1"/>
  <c r="M70" i="1"/>
  <c r="M69" i="1"/>
  <c r="O69" i="1" s="1"/>
  <c r="N68" i="1"/>
  <c r="O68" i="1" s="1"/>
  <c r="M68" i="1"/>
  <c r="N67" i="1"/>
  <c r="O67" i="1" s="1"/>
  <c r="M67" i="1"/>
  <c r="N66" i="1"/>
  <c r="O66" i="1" s="1"/>
  <c r="M66" i="1"/>
  <c r="N65" i="1"/>
  <c r="O65" i="1" s="1"/>
  <c r="M65" i="1"/>
  <c r="O64" i="1"/>
  <c r="M64" i="1"/>
  <c r="N63" i="1"/>
  <c r="M63" i="1"/>
  <c r="O63" i="1" s="1"/>
  <c r="N62" i="1"/>
  <c r="M62" i="1"/>
  <c r="O62" i="1" s="1"/>
  <c r="N61" i="1"/>
  <c r="M61" i="1"/>
  <c r="O61" i="1" s="1"/>
  <c r="N60" i="1"/>
  <c r="O60" i="1" s="1"/>
  <c r="M60" i="1"/>
  <c r="N59" i="1"/>
  <c r="O59" i="1" s="1"/>
  <c r="M59" i="1"/>
  <c r="N58" i="1"/>
  <c r="O58" i="1" s="1"/>
  <c r="M58" i="1"/>
  <c r="O57" i="1"/>
  <c r="N57" i="1"/>
  <c r="M57" i="1"/>
  <c r="N56" i="1"/>
  <c r="O56" i="1" s="1"/>
  <c r="M56" i="1"/>
  <c r="N55" i="1"/>
  <c r="O55" i="1" s="1"/>
  <c r="M55" i="1"/>
  <c r="N54" i="1"/>
  <c r="O54" i="1" s="1"/>
  <c r="M54" i="1"/>
  <c r="N53" i="1"/>
  <c r="O53" i="1" s="1"/>
  <c r="M53" i="1"/>
  <c r="N52" i="1"/>
  <c r="O52" i="1" s="1"/>
  <c r="M52" i="1"/>
  <c r="M51" i="1"/>
  <c r="O51" i="1" s="1"/>
  <c r="O50" i="1"/>
  <c r="N50" i="1"/>
  <c r="M50" i="1"/>
  <c r="M49" i="1"/>
  <c r="O49" i="1" s="1"/>
  <c r="N48" i="1"/>
  <c r="M48" i="1"/>
  <c r="O48" i="1" s="1"/>
  <c r="O47" i="1"/>
  <c r="M47" i="1"/>
  <c r="N46" i="1"/>
  <c r="O46" i="1" s="1"/>
  <c r="M46" i="1"/>
  <c r="N45" i="1"/>
  <c r="O45" i="1" s="1"/>
  <c r="M45" i="1"/>
  <c r="N44" i="1"/>
  <c r="O44" i="1" s="1"/>
  <c r="M44" i="1"/>
  <c r="N43" i="1"/>
  <c r="O43" i="1" s="1"/>
  <c r="M43" i="1"/>
  <c r="N42" i="1"/>
  <c r="M42" i="1"/>
  <c r="O42" i="1" s="1"/>
  <c r="N41" i="1"/>
  <c r="M41" i="1"/>
  <c r="O41" i="1" s="1"/>
  <c r="N40" i="1"/>
  <c r="M40" i="1"/>
  <c r="O40" i="1" s="1"/>
  <c r="N39" i="1"/>
  <c r="O39" i="1" s="1"/>
  <c r="M39" i="1"/>
  <c r="N38" i="1"/>
  <c r="O38" i="1" s="1"/>
  <c r="M38" i="1"/>
  <c r="M37" i="1"/>
  <c r="O37" i="1" s="1"/>
  <c r="N36" i="1"/>
  <c r="O36" i="1" s="1"/>
  <c r="M36" i="1"/>
  <c r="N35" i="1"/>
  <c r="M35" i="1"/>
  <c r="O35" i="1" s="1"/>
  <c r="N34" i="1"/>
  <c r="M34" i="1"/>
  <c r="O34" i="1" s="1"/>
  <c r="N33" i="1"/>
  <c r="M33" i="1"/>
  <c r="O33" i="1" s="1"/>
  <c r="N32" i="1"/>
  <c r="O32" i="1" s="1"/>
  <c r="M32" i="1"/>
  <c r="N31" i="1"/>
  <c r="O31" i="1" s="1"/>
  <c r="M31" i="1"/>
  <c r="N30" i="1"/>
  <c r="O30" i="1" s="1"/>
  <c r="M30" i="1"/>
  <c r="O29" i="1"/>
  <c r="N29" i="1"/>
  <c r="M29" i="1"/>
  <c r="N28" i="1"/>
  <c r="O28" i="1" s="1"/>
  <c r="M28" i="1"/>
  <c r="N27" i="1"/>
  <c r="O27" i="1" s="1"/>
  <c r="M27" i="1"/>
  <c r="N26" i="1"/>
  <c r="O26" i="1" s="1"/>
  <c r="M26" i="1"/>
  <c r="N25" i="1"/>
  <c r="O25" i="1" s="1"/>
  <c r="M25" i="1"/>
  <c r="N24" i="1"/>
  <c r="O24" i="1" s="1"/>
  <c r="M24" i="1"/>
  <c r="N23" i="1"/>
  <c r="O23" i="1" s="1"/>
  <c r="M23" i="1"/>
  <c r="N22" i="1"/>
  <c r="O22" i="1" s="1"/>
  <c r="M22" i="1"/>
  <c r="O21" i="1"/>
  <c r="N21" i="1"/>
  <c r="M21" i="1"/>
  <c r="O20" i="1"/>
  <c r="N20" i="1"/>
  <c r="M20" i="1"/>
  <c r="N19" i="1"/>
  <c r="O19" i="1" s="1"/>
  <c r="M19" i="1"/>
  <c r="N18" i="1"/>
  <c r="O18" i="1" s="1"/>
  <c r="M18" i="1"/>
  <c r="N17" i="1"/>
  <c r="O17" i="1" s="1"/>
  <c r="M17" i="1"/>
  <c r="M16" i="1"/>
  <c r="O16" i="1" s="1"/>
  <c r="M15" i="1"/>
  <c r="O15" i="1" s="1"/>
  <c r="N14" i="1"/>
  <c r="O14" i="1" s="1"/>
  <c r="M14" i="1"/>
  <c r="M13" i="1"/>
  <c r="O13" i="1" s="1"/>
  <c r="O12" i="1"/>
  <c r="M12" i="1"/>
  <c r="N11" i="1"/>
  <c r="O11" i="1" s="1"/>
  <c r="M11" i="1"/>
  <c r="M10" i="1"/>
  <c r="O10" i="1" s="1"/>
  <c r="N9" i="1"/>
  <c r="O9" i="1" s="1"/>
  <c r="M9" i="1"/>
  <c r="M8" i="1"/>
  <c r="O8" i="1" s="1"/>
  <c r="O7" i="1"/>
  <c r="N7" i="1"/>
  <c r="M7" i="1"/>
  <c r="N6" i="1"/>
  <c r="O6" i="1" s="1"/>
  <c r="M6" i="1"/>
  <c r="N5" i="1"/>
  <c r="O5" i="1" s="1"/>
  <c r="M5" i="1"/>
  <c r="N4" i="1"/>
  <c r="O4" i="1" s="1"/>
  <c r="M4" i="1"/>
  <c r="M3" i="1"/>
  <c r="O3" i="1" s="1"/>
  <c r="N2" i="1"/>
  <c r="N999" i="1" s="1"/>
  <c r="O999" i="1" s="1"/>
  <c r="M2" i="1"/>
  <c r="M999" i="1" s="1"/>
  <c r="O2" i="1" l="1"/>
</calcChain>
</file>

<file path=xl/sharedStrings.xml><?xml version="1.0" encoding="utf-8"?>
<sst xmlns="http://schemas.openxmlformats.org/spreadsheetml/2006/main" count="3239" uniqueCount="461">
  <si>
    <t>No</t>
    <phoneticPr fontId="3" type="noConversion"/>
  </si>
  <si>
    <t>类别一</t>
    <phoneticPr fontId="3" type="noConversion"/>
  </si>
  <si>
    <t>Category 1</t>
    <phoneticPr fontId="3" type="noConversion"/>
  </si>
  <si>
    <t>类别二</t>
    <phoneticPr fontId="3" type="noConversion"/>
  </si>
  <si>
    <t>Category 2</t>
    <phoneticPr fontId="3" type="noConversion"/>
  </si>
  <si>
    <t>类别三</t>
    <phoneticPr fontId="3" type="noConversion"/>
  </si>
  <si>
    <t>Category 3</t>
  </si>
  <si>
    <t>模块名</t>
    <phoneticPr fontId="3" type="noConversion"/>
  </si>
  <si>
    <t>Module Name</t>
    <phoneticPr fontId="3" type="noConversion"/>
  </si>
  <si>
    <t>类型</t>
    <phoneticPr fontId="3" type="noConversion"/>
  </si>
  <si>
    <t>类型2</t>
  </si>
  <si>
    <t>类型3</t>
  </si>
  <si>
    <t>时长</t>
    <phoneticPr fontId="5" type="noConversion"/>
  </si>
  <si>
    <t>字数</t>
    <phoneticPr fontId="5" type="noConversion"/>
  </si>
  <si>
    <t>平均</t>
    <phoneticPr fontId="5" type="noConversion"/>
  </si>
  <si>
    <t>涂料应用技术和工艺</t>
  </si>
  <si>
    <t>Paint Application Technology &amp; Process</t>
  </si>
  <si>
    <t>夜间涂装</t>
    <phoneticPr fontId="3" type="noConversion"/>
  </si>
  <si>
    <t>Painting at night</t>
    <phoneticPr fontId="3" type="noConversion"/>
  </si>
  <si>
    <t>视频</t>
  </si>
  <si>
    <t>演示</t>
  </si>
  <si>
    <t>表面处理技术和工艺</t>
  </si>
  <si>
    <t>Surface Preparation Technology &amp; Process</t>
  </si>
  <si>
    <t>淡水清洗和水射流清理用水的可接受含盐量</t>
    <phoneticPr fontId="3" type="noConversion"/>
  </si>
  <si>
    <t>Acceptable salt levels in water for fresh water hosing and water jetting</t>
    <phoneticPr fontId="3" type="noConversion"/>
  </si>
  <si>
    <t>检查，测试和勘验</t>
  </si>
  <si>
    <t>Inspection, Testing and Survey</t>
  </si>
  <si>
    <t>漆膜缺陷和涂层失效</t>
    <phoneticPr fontId="3" type="noConversion"/>
  </si>
  <si>
    <t>Film-Defect and Coating-Failure</t>
    <phoneticPr fontId="3" type="noConversion"/>
  </si>
  <si>
    <t>冷墙效应</t>
    <phoneticPr fontId="3" type="noConversion"/>
  </si>
  <si>
    <t>The cold wall effect</t>
    <phoneticPr fontId="3" type="noConversion"/>
  </si>
  <si>
    <t>Inspection, Testing and Survey</t>
    <phoneticPr fontId="3" type="noConversion"/>
  </si>
  <si>
    <t>空气中的湿气凝结</t>
    <phoneticPr fontId="3" type="noConversion"/>
  </si>
  <si>
    <t>Condensation of humidity from the air</t>
    <phoneticPr fontId="3" type="noConversion"/>
  </si>
  <si>
    <t>矿物酸的储罐</t>
    <phoneticPr fontId="3" type="noConversion"/>
  </si>
  <si>
    <t>Tanks for mineral acids</t>
    <phoneticPr fontId="3" type="noConversion"/>
  </si>
  <si>
    <t>涂装锐边</t>
    <phoneticPr fontId="3" type="noConversion"/>
  </si>
  <si>
    <t>Coating Sharp Edge</t>
    <phoneticPr fontId="3" type="noConversion"/>
  </si>
  <si>
    <t>在指定货舱涂料系统时应考虑哪些方面</t>
    <phoneticPr fontId="3" type="noConversion"/>
  </si>
  <si>
    <t>What to consider when specifying paint systems for cargo holds</t>
    <phoneticPr fontId="3" type="noConversion"/>
  </si>
  <si>
    <t>油漆，涂料和衬里</t>
  </si>
  <si>
    <t>Paints, Coatings, and Linings</t>
  </si>
  <si>
    <t>保护性涂料的性能</t>
    <phoneticPr fontId="3" type="noConversion"/>
  </si>
  <si>
    <t>Performance of Protective Coatings</t>
    <phoneticPr fontId="3" type="noConversion"/>
  </si>
  <si>
    <t>油漆的指纹测试</t>
    <phoneticPr fontId="3" type="noConversion"/>
  </si>
  <si>
    <t>Fingerprinting of paint</t>
    <phoneticPr fontId="3" type="noConversion"/>
  </si>
  <si>
    <t>饮用水的消毒</t>
    <phoneticPr fontId="3" type="noConversion"/>
  </si>
  <si>
    <t>Disinfection of drinking water</t>
    <phoneticPr fontId="3" type="noConversion"/>
  </si>
  <si>
    <t>与饮用水接触的涂料</t>
    <phoneticPr fontId="3" type="noConversion"/>
  </si>
  <si>
    <t>Coatings in contact with potable water</t>
    <phoneticPr fontId="3" type="noConversion"/>
  </si>
  <si>
    <t>车间底漆的覆涂</t>
    <phoneticPr fontId="3" type="noConversion"/>
  </si>
  <si>
    <t>Overcoating shopprimers</t>
    <phoneticPr fontId="3" type="noConversion"/>
  </si>
  <si>
    <t>冬季和夏季固化的环氧树脂之间的兼容性</t>
    <phoneticPr fontId="3" type="noConversion"/>
  </si>
  <si>
    <t>Compatibility between winter and summer cured epoxy</t>
    <phoneticPr fontId="3" type="noConversion"/>
  </si>
  <si>
    <t>富锌底漆的漆膜厚度范围</t>
    <phoneticPr fontId="3" type="noConversion"/>
  </si>
  <si>
    <t>Zinc-rich primers – film thickness range</t>
    <phoneticPr fontId="3" type="noConversion"/>
  </si>
  <si>
    <t>无气喷涂应用</t>
    <phoneticPr fontId="3" type="noConversion"/>
  </si>
  <si>
    <t>Airless Spray Application</t>
    <phoneticPr fontId="3" type="noConversion"/>
  </si>
  <si>
    <t>概述</t>
    <phoneticPr fontId="3" type="noConversion"/>
  </si>
  <si>
    <t>General Introduction</t>
    <phoneticPr fontId="3" type="noConversion"/>
  </si>
  <si>
    <t>静电喷涂的简介</t>
    <phoneticPr fontId="3" type="noConversion"/>
  </si>
  <si>
    <t>Introduction of electrostatic spray</t>
    <phoneticPr fontId="3" type="noConversion"/>
  </si>
  <si>
    <t>无气喷涂的操作与故障排除</t>
    <phoneticPr fontId="3" type="noConversion"/>
  </si>
  <si>
    <t>Operation of airless spray and troubleshooting</t>
    <phoneticPr fontId="3" type="noConversion"/>
  </si>
  <si>
    <t>稀释的影响</t>
    <phoneticPr fontId="3" type="noConversion"/>
  </si>
  <si>
    <t>The effect of thinning</t>
    <phoneticPr fontId="3" type="noConversion"/>
  </si>
  <si>
    <t>涂料应用技术和工艺</t>
    <phoneticPr fontId="3" type="noConversion"/>
  </si>
  <si>
    <t>Paint Application Technology &amp; Process</t>
    <phoneticPr fontId="3" type="noConversion"/>
  </si>
  <si>
    <t>应用的窗口期</t>
    <phoneticPr fontId="3" type="noConversion"/>
  </si>
  <si>
    <t>The Application Window</t>
    <phoneticPr fontId="3" type="noConversion"/>
  </si>
  <si>
    <t>在热基底上的涂装作业</t>
    <phoneticPr fontId="3" type="noConversion"/>
  </si>
  <si>
    <t>Application on hot substrates</t>
    <phoneticPr fontId="3" type="noConversion"/>
  </si>
  <si>
    <t>在热基底上涂装作业中的安全问题</t>
    <phoneticPr fontId="3" type="noConversion"/>
  </si>
  <si>
    <t>Safety issues in application onto hot substrates</t>
    <phoneticPr fontId="3" type="noConversion"/>
  </si>
  <si>
    <t>耐腐蚀的有机涂料</t>
    <phoneticPr fontId="3" type="noConversion"/>
  </si>
  <si>
    <t>Corrosion-Resistant Organic Coatings</t>
    <phoneticPr fontId="3" type="noConversion"/>
  </si>
  <si>
    <t>富锌底漆中的锌粉颜料，是全锌还是金属锌？</t>
    <phoneticPr fontId="3" type="noConversion"/>
  </si>
  <si>
    <t>Zinc Dust Pigment in Zinc-Rich Coatings, Total-Zinc or Metallic-Zinc?</t>
    <phoneticPr fontId="3" type="noConversion"/>
  </si>
  <si>
    <t>术语的区别</t>
    <phoneticPr fontId="3" type="noConversion"/>
  </si>
  <si>
    <t xml:space="preserve">Distinction in Terms </t>
    <phoneticPr fontId="3" type="noConversion"/>
  </si>
  <si>
    <t>保护性有机涂料</t>
    <phoneticPr fontId="3" type="noConversion"/>
  </si>
  <si>
    <t>Protective Organic Coatings</t>
    <phoneticPr fontId="3" type="noConversion"/>
  </si>
  <si>
    <t>可重涂脂肪族聚氨酯</t>
    <phoneticPr fontId="3" type="noConversion"/>
  </si>
  <si>
    <t>Recoatable aliphatic polyurethane</t>
    <phoneticPr fontId="3" type="noConversion"/>
  </si>
  <si>
    <t>如何测定有机涂料的体积固体分</t>
    <phoneticPr fontId="3" type="noConversion"/>
  </si>
  <si>
    <t>How to determine the volume solid of organic coatings</t>
    <phoneticPr fontId="3" type="noConversion"/>
  </si>
  <si>
    <t>表面污染物和表面清洁度</t>
    <phoneticPr fontId="3" type="noConversion"/>
  </si>
  <si>
    <t>Surface Contamination &amp; Surface Cleanliness</t>
    <phoneticPr fontId="3" type="noConversion"/>
  </si>
  <si>
    <t>表面污染物，外来层和异物</t>
    <phoneticPr fontId="3" type="noConversion"/>
  </si>
  <si>
    <t>Surface Contamination, Extraneous layers and foreign matter</t>
    <phoneticPr fontId="3" type="noConversion"/>
  </si>
  <si>
    <t>钢基材的锈蚀等级和表面条件</t>
    <phoneticPr fontId="3" type="noConversion"/>
  </si>
  <si>
    <t>Rust grades and surface conditions of steel substrate</t>
    <phoneticPr fontId="3" type="noConversion"/>
  </si>
  <si>
    <t>检查，测试和勘验</t>
    <phoneticPr fontId="3" type="noConversion"/>
  </si>
  <si>
    <t>在生产作业前制定表面清洁度和表面轮廓深度的现场标准的重要性</t>
    <phoneticPr fontId="3" type="noConversion"/>
  </si>
  <si>
    <t>The Importance of Preparing Jobsite Standards for Surface Cleanliness and Surface Profile Depth Prior to Production Operations</t>
    <phoneticPr fontId="3" type="noConversion"/>
  </si>
  <si>
    <t>漆膜厚度测定</t>
    <phoneticPr fontId="3" type="noConversion"/>
  </si>
  <si>
    <t>Determination of Film Thickness</t>
    <phoneticPr fontId="3" type="noConversion"/>
  </si>
  <si>
    <t>计算和测量湿膜厚度</t>
    <phoneticPr fontId="3" type="noConversion"/>
  </si>
  <si>
    <t>Calculating and Measuring Wet Film Thickness</t>
    <phoneticPr fontId="3" type="noConversion"/>
  </si>
  <si>
    <t>保护性涂层系统的性能测试</t>
    <phoneticPr fontId="3" type="noConversion"/>
  </si>
  <si>
    <t>Testing for the Performance of Protective Coating System</t>
    <phoneticPr fontId="3" type="noConversion"/>
  </si>
  <si>
    <t>读懂最新版本的 ISO2409（2020）</t>
    <phoneticPr fontId="3" type="noConversion"/>
  </si>
  <si>
    <t>Understanding the latest version of ISO2409-2020</t>
    <phoneticPr fontId="3" type="noConversion"/>
  </si>
  <si>
    <t>不锈钢的常规注意事项</t>
    <phoneticPr fontId="3" type="noConversion"/>
  </si>
  <si>
    <t>General notes on stainless steel</t>
    <phoneticPr fontId="3" type="noConversion"/>
  </si>
  <si>
    <t>用刀评估附着力</t>
    <phoneticPr fontId="3" type="noConversion"/>
  </si>
  <si>
    <t>Evaluating Adhesion by Knife</t>
    <phoneticPr fontId="3" type="noConversion"/>
  </si>
  <si>
    <t>Film Defects &amp; Coating Failures</t>
    <phoneticPr fontId="3" type="noConversion"/>
  </si>
  <si>
    <t>在无机锌底漆上涂覆面漆出现的爆裂现象</t>
    <phoneticPr fontId="3" type="noConversion"/>
  </si>
  <si>
    <t>Popping of topcoats applied over inorganic zinc primers</t>
    <phoneticPr fontId="3" type="noConversion"/>
  </si>
  <si>
    <t>涂装技术文档</t>
  </si>
  <si>
    <t>Painting Technical Document</t>
  </si>
  <si>
    <t>涂装参考标准</t>
    <phoneticPr fontId="3" type="noConversion"/>
  </si>
  <si>
    <t>Painting Reference Standards</t>
    <phoneticPr fontId="3" type="noConversion"/>
  </si>
  <si>
    <t>有关涂装标准</t>
    <phoneticPr fontId="3" type="noConversion"/>
  </si>
  <si>
    <t>About Painting Standards</t>
    <phoneticPr fontId="3" type="noConversion"/>
  </si>
  <si>
    <t>根据ASTM D3359通过胶带试验测量附着力</t>
    <phoneticPr fontId="3" type="noConversion"/>
  </si>
  <si>
    <t>Measuring Adhesion by Tape Test per ASTM D3359</t>
    <phoneticPr fontId="3" type="noConversion"/>
  </si>
  <si>
    <t>漆膜缺陷和涂层失效的检查</t>
    <phoneticPr fontId="3" type="noConversion"/>
  </si>
  <si>
    <t>Inspection to Film-Defect and Coating-Failure</t>
    <phoneticPr fontId="3" type="noConversion"/>
  </si>
  <si>
    <t>涂层失效分析的概述</t>
    <phoneticPr fontId="3" type="noConversion"/>
  </si>
  <si>
    <t>Introducing Coating Failure Analysis</t>
    <phoneticPr fontId="3" type="noConversion"/>
  </si>
  <si>
    <t>Surface Preparation Technology &amp; Process</t>
    <phoneticPr fontId="3" type="noConversion"/>
  </si>
  <si>
    <t>热喷涂金属</t>
    <phoneticPr fontId="3" type="noConversion"/>
  </si>
  <si>
    <t>Thermally Sprayed Metal</t>
    <phoneticPr fontId="3" type="noConversion"/>
  </si>
  <si>
    <t>金属化</t>
    <phoneticPr fontId="3" type="noConversion"/>
  </si>
  <si>
    <t>Metallising</t>
    <phoneticPr fontId="3" type="noConversion"/>
  </si>
  <si>
    <t>涂装检验员的角色和职责</t>
  </si>
  <si>
    <t>The Role and Responsibilities of a painting inspector</t>
  </si>
  <si>
    <t>如何做好一份有效的专业报告</t>
    <phoneticPr fontId="3" type="noConversion"/>
  </si>
  <si>
    <t>How to issue an effective professional report</t>
    <phoneticPr fontId="3" type="noConversion"/>
  </si>
  <si>
    <t>标准的价值</t>
    <phoneticPr fontId="3" type="noConversion"/>
  </si>
  <si>
    <t>The Value of Standard</t>
    <phoneticPr fontId="3" type="noConversion"/>
  </si>
  <si>
    <t>Painting Technical Document</t>
    <phoneticPr fontId="3" type="noConversion"/>
  </si>
  <si>
    <t>读懂标准的重要性</t>
    <phoneticPr fontId="3" type="noConversion"/>
  </si>
  <si>
    <t>The importance of understanding standards</t>
    <phoneticPr fontId="3" type="noConversion"/>
  </si>
  <si>
    <t>深入学习涂层拉拔法附着力测试</t>
    <phoneticPr fontId="3" type="noConversion"/>
  </si>
  <si>
    <t>To learn more knowledge of pull-off adhesion testing</t>
    <phoneticPr fontId="3" type="noConversion"/>
  </si>
  <si>
    <t>选择用于拉伸（拉拔）附着力测试的粘合剂</t>
    <phoneticPr fontId="3" type="noConversion"/>
  </si>
  <si>
    <t xml:space="preserve">Selecting an Adhesive for Tensile (Pull-Off) Adhesion Testing </t>
    <phoneticPr fontId="3" type="noConversion"/>
  </si>
  <si>
    <t>术语和定义</t>
  </si>
  <si>
    <t>Terms and Definitions</t>
  </si>
  <si>
    <t>电导率</t>
    <phoneticPr fontId="3" type="noConversion"/>
  </si>
  <si>
    <t>conductivity</t>
    <phoneticPr fontId="3" type="noConversion"/>
  </si>
  <si>
    <t>表面处理技术和工艺</t>
    <phoneticPr fontId="3" type="noConversion"/>
  </si>
  <si>
    <t>热浸镀锌</t>
    <phoneticPr fontId="3" type="noConversion"/>
  </si>
  <si>
    <t>Hot-Dip Galvanizing</t>
    <phoneticPr fontId="3" type="noConversion"/>
  </si>
  <si>
    <t>扫砂清理镀锌钢</t>
    <phoneticPr fontId="3" type="noConversion"/>
  </si>
  <si>
    <t>Sweep Blasting Galvanized Steel</t>
    <phoneticPr fontId="3" type="noConversion"/>
  </si>
  <si>
    <t>锈蚀，腐蚀和降解</t>
  </si>
  <si>
    <t>Rusting, Corrosion and Degradation</t>
  </si>
  <si>
    <t>腐蚀环境的分类</t>
    <phoneticPr fontId="3" type="noConversion"/>
  </si>
  <si>
    <t>Classification of Corrosion Environments</t>
    <phoneticPr fontId="3" type="noConversion"/>
  </si>
  <si>
    <t>不锈钢基底及其表面处理</t>
    <phoneticPr fontId="3" type="noConversion"/>
  </si>
  <si>
    <t>Stainless Steel and its Surface Preparation</t>
    <phoneticPr fontId="3" type="noConversion"/>
  </si>
  <si>
    <t>不锈钢表面的铁残留物和污染</t>
    <phoneticPr fontId="3" type="noConversion"/>
  </si>
  <si>
    <t>Iron Residue &amp; Contamination on Stainless Steel Surfaces</t>
    <phoneticPr fontId="3" type="noConversion"/>
  </si>
  <si>
    <t>涂覆各种基底</t>
    <phoneticPr fontId="3" type="noConversion"/>
  </si>
  <si>
    <t>Coating Various Substrates</t>
    <phoneticPr fontId="3" type="noConversion"/>
  </si>
  <si>
    <t>镀锌钢的制备和涂漆</t>
    <phoneticPr fontId="3" type="noConversion"/>
  </si>
  <si>
    <t>Preparing and Painting Galvanizing</t>
    <phoneticPr fontId="3" type="noConversion"/>
  </si>
  <si>
    <t>湿储存污渍</t>
    <phoneticPr fontId="3" type="noConversion"/>
  </si>
  <si>
    <t>Wet Storage Stain</t>
    <phoneticPr fontId="3" type="noConversion"/>
  </si>
  <si>
    <t>最大限度地减少和处理热镀锌钢上的湿储存污渍的指南</t>
    <phoneticPr fontId="3" type="noConversion"/>
  </si>
  <si>
    <t>A Guide to Minimizing and Treating Wet Storage Stain on Hot-Dip Galvanized Steel</t>
    <phoneticPr fontId="3" type="noConversion"/>
  </si>
  <si>
    <t>涂装现场的检查和测试</t>
    <phoneticPr fontId="3" type="noConversion"/>
  </si>
  <si>
    <t>Inspection and Testing of Painting Site</t>
    <phoneticPr fontId="3" type="noConversion"/>
  </si>
  <si>
    <t>待涂漆制备的钢基材表面粉尘的评估，压敏胶带方法</t>
    <phoneticPr fontId="3" type="noConversion"/>
  </si>
  <si>
    <t>Assessment of dust on steel surfaces prepared for painting (pressure-sensitive tape method)</t>
    <phoneticPr fontId="3" type="noConversion"/>
  </si>
  <si>
    <t>如何召开施工前会议</t>
    <phoneticPr fontId="3" type="noConversion"/>
  </si>
  <si>
    <t>How to Conduct a Pre-Construction Conference</t>
    <phoneticPr fontId="3" type="noConversion"/>
  </si>
  <si>
    <t>油漆，涂料和衬里</t>
    <phoneticPr fontId="3" type="noConversion"/>
  </si>
  <si>
    <t>Paints, Coatings, and Linings</t>
    <phoneticPr fontId="3" type="noConversion"/>
  </si>
  <si>
    <t>粘合剂的快速概述</t>
    <phoneticPr fontId="3" type="noConversion"/>
  </si>
  <si>
    <t>Quick overview of binders</t>
    <phoneticPr fontId="3" type="noConversion"/>
  </si>
  <si>
    <t>通用粘合剂类型的现场识别方法</t>
    <phoneticPr fontId="3" type="noConversion"/>
  </si>
  <si>
    <t>Method for identification of generic binder types on-site</t>
    <phoneticPr fontId="3" type="noConversion"/>
  </si>
  <si>
    <t>厚浆油漆</t>
    <phoneticPr fontId="3" type="noConversion"/>
  </si>
  <si>
    <t>High-build paints</t>
    <phoneticPr fontId="3" type="noConversion"/>
  </si>
  <si>
    <t>拉拔试验，设备和程序的影响</t>
    <phoneticPr fontId="3" type="noConversion"/>
  </si>
  <si>
    <t>Pull off testing - effect of equipment and procedure</t>
    <phoneticPr fontId="3" type="noConversion"/>
  </si>
  <si>
    <t>涂层系统的美观性问题</t>
    <phoneticPr fontId="3" type="noConversion"/>
  </si>
  <si>
    <t>The Problem with Aesthetics of Coating System</t>
    <phoneticPr fontId="3" type="noConversion"/>
  </si>
  <si>
    <t>表面可溶性盐测试</t>
    <phoneticPr fontId="3" type="noConversion"/>
  </si>
  <si>
    <t>Surface Soluble Salt Testing</t>
    <phoneticPr fontId="3" type="noConversion"/>
  </si>
  <si>
    <t>金属化，热喷涂应用技术和工艺</t>
    <phoneticPr fontId="3" type="noConversion"/>
  </si>
  <si>
    <t>Metallization, thermal spraying application technology and process</t>
    <phoneticPr fontId="3" type="noConversion"/>
  </si>
  <si>
    <t>涂层结构（孔隙度）</t>
    <phoneticPr fontId="3" type="noConversion"/>
  </si>
  <si>
    <t>Coating structures (porosity)</t>
    <phoneticPr fontId="3" type="noConversion"/>
  </si>
  <si>
    <t>减少锌含量的富锌环氧树脂的耐腐蚀性比较</t>
    <phoneticPr fontId="3" type="noConversion"/>
  </si>
  <si>
    <t>Corrosion Resistance Comparison of Zinc-Rich Epoxy with Reduced Zinc Levels</t>
    <phoneticPr fontId="3" type="noConversion"/>
  </si>
  <si>
    <t>涂装检验员的角色和职责</t>
    <phoneticPr fontId="3" type="noConversion"/>
  </si>
  <si>
    <t>制造商代表是项目涂装检查的好选择吗</t>
    <phoneticPr fontId="3" type="noConversion"/>
  </si>
  <si>
    <t>Is a Manufacturer’s Representative a Good Choice for Project Coating Inspections</t>
    <phoneticPr fontId="3" type="noConversion"/>
  </si>
  <si>
    <t>安全，健康和环境</t>
    <phoneticPr fontId="3" type="noConversion"/>
  </si>
  <si>
    <t>Safety, Health and Environment</t>
    <phoneticPr fontId="3" type="noConversion"/>
  </si>
  <si>
    <t>有机溶剂暴露对人类的影响</t>
    <phoneticPr fontId="3" type="noConversion"/>
  </si>
  <si>
    <t>Effects of Organic Solvent Exposure on Humans</t>
    <phoneticPr fontId="3" type="noConversion"/>
  </si>
  <si>
    <t>使用柔性介质磨料去除氯化物的案例</t>
    <phoneticPr fontId="3" type="noConversion"/>
  </si>
  <si>
    <t>Case Histories in Chloride Removal Using Pliant Media Abrasive</t>
    <phoneticPr fontId="3" type="noConversion"/>
  </si>
  <si>
    <t>用刮擦附着法测定有机涂层附着力的标准试验方法（ASTM D2197)</t>
    <phoneticPr fontId="3" type="noConversion"/>
  </si>
  <si>
    <t>Standard Test Method for Adhesion of Organic Coatings by Scrape Adhesion (ASTM D2197)</t>
    <phoneticPr fontId="3" type="noConversion"/>
  </si>
  <si>
    <t>胶粘剂的使用（ASTM C633)</t>
    <phoneticPr fontId="3" type="noConversion"/>
  </si>
  <si>
    <t>Adhesive Bonding Agent Use (ASTM C633)</t>
    <phoneticPr fontId="3" type="noConversion"/>
  </si>
  <si>
    <t>条纹涂层对延长涂层使用寿命的重要性</t>
    <phoneticPr fontId="3" type="noConversion"/>
  </si>
  <si>
    <t>Importance of Stripe Coating for Extending Coating Service Life</t>
    <phoneticPr fontId="3" type="noConversion"/>
  </si>
  <si>
    <t>行业标准，是最新的吗</t>
    <phoneticPr fontId="3" type="noConversion"/>
  </si>
  <si>
    <t>Industry Standards: Are You Current?</t>
    <phoneticPr fontId="3" type="noConversion"/>
  </si>
  <si>
    <t>涂层的热反射率</t>
    <phoneticPr fontId="3" type="noConversion"/>
  </si>
  <si>
    <t>Heat reflectance of coatings</t>
    <phoneticPr fontId="3" type="noConversion"/>
  </si>
  <si>
    <t>油漆的耐温性</t>
    <phoneticPr fontId="3" type="noConversion"/>
  </si>
  <si>
    <t>Temperature tolerance of paint</t>
    <phoneticPr fontId="3" type="noConversion"/>
  </si>
  <si>
    <t>不锈钢简介</t>
    <phoneticPr fontId="3" type="noConversion"/>
  </si>
  <si>
    <t>An Introduction to Stainless Steel</t>
    <phoneticPr fontId="3" type="noConversion"/>
  </si>
  <si>
    <t>不锈钢的介绍</t>
    <phoneticPr fontId="3" type="noConversion"/>
  </si>
  <si>
    <t>Introduction to Stainless Steel</t>
    <phoneticPr fontId="3" type="noConversion"/>
  </si>
  <si>
    <t>浅谈用于内部腐蚀防护的防腐蚀衬里</t>
    <phoneticPr fontId="3" type="noConversion"/>
  </si>
  <si>
    <t>A Look at Corrosion Barrier Linings for Internal Corrosion Protection</t>
    <phoneticPr fontId="3" type="noConversion"/>
  </si>
  <si>
    <t>涂层的服务要求和环境因素</t>
    <phoneticPr fontId="3" type="noConversion"/>
  </si>
  <si>
    <t>Service Requirements &amp; Environmental Factors for Coatings</t>
    <phoneticPr fontId="3" type="noConversion"/>
  </si>
  <si>
    <t>小心收集，如何有效地收集油漆样本进行场外分析</t>
    <phoneticPr fontId="3" type="noConversion"/>
  </si>
  <si>
    <t>Collect with Care, How to Effectively Gather Paint Samples for Off-Site Analysis</t>
    <phoneticPr fontId="3" type="noConversion"/>
  </si>
  <si>
    <t>涂层失效调查期间的取样技术</t>
    <phoneticPr fontId="3" type="noConversion"/>
  </si>
  <si>
    <t>Sampling Techniques During a Coating Failure Investigation</t>
    <phoneticPr fontId="3" type="noConversion"/>
  </si>
  <si>
    <t>堆积密度</t>
    <phoneticPr fontId="3" type="noConversion"/>
  </si>
  <si>
    <t>Bulk Density</t>
    <phoneticPr fontId="3" type="noConversion"/>
  </si>
  <si>
    <t>精度验证</t>
    <phoneticPr fontId="3" type="noConversion"/>
  </si>
  <si>
    <t>verification of accuracy</t>
    <phoneticPr fontId="3" type="noConversion"/>
  </si>
  <si>
    <t>磨料</t>
    <phoneticPr fontId="3" type="noConversion"/>
  </si>
  <si>
    <t>Abrasive</t>
    <phoneticPr fontId="3" type="noConversion"/>
  </si>
  <si>
    <t>诱导期</t>
    <phoneticPr fontId="3" type="noConversion"/>
  </si>
  <si>
    <t>Induction Time</t>
    <phoneticPr fontId="3" type="noConversion"/>
  </si>
  <si>
    <t>保光性</t>
    <phoneticPr fontId="3" type="noConversion"/>
  </si>
  <si>
    <t>Gloss Retention</t>
    <phoneticPr fontId="3" type="noConversion"/>
  </si>
  <si>
    <t>调整（优化）</t>
    <phoneticPr fontId="3" type="noConversion"/>
  </si>
  <si>
    <t>adjustment (optimization)</t>
    <phoneticPr fontId="3" type="noConversion"/>
  </si>
  <si>
    <t>基础金属读数</t>
    <phoneticPr fontId="3" type="noConversion"/>
  </si>
  <si>
    <t>base metal reading</t>
    <phoneticPr fontId="3" type="noConversion"/>
  </si>
  <si>
    <t>露点（温度）</t>
    <phoneticPr fontId="3" type="noConversion"/>
  </si>
  <si>
    <t>dewpoint (temperature)</t>
    <phoneticPr fontId="3" type="noConversion"/>
  </si>
  <si>
    <t>洛氏硬度试验</t>
    <phoneticPr fontId="3" type="noConversion"/>
  </si>
  <si>
    <t>rockwell hardness test</t>
    <phoneticPr fontId="3" type="noConversion"/>
  </si>
  <si>
    <t>莫氏硬度标度</t>
    <phoneticPr fontId="3" type="noConversion"/>
  </si>
  <si>
    <t>mohs hardness scale</t>
    <phoneticPr fontId="3" type="noConversion"/>
  </si>
  <si>
    <t>闪点</t>
    <phoneticPr fontId="3" type="noConversion"/>
  </si>
  <si>
    <t>flash point</t>
    <phoneticPr fontId="3" type="noConversion"/>
  </si>
  <si>
    <t>维氏硬度试验</t>
    <phoneticPr fontId="3" type="noConversion"/>
  </si>
  <si>
    <t>vickers hardness test</t>
    <phoneticPr fontId="3" type="noConversion"/>
  </si>
  <si>
    <t>相对湿度</t>
    <phoneticPr fontId="3" type="noConversion"/>
  </si>
  <si>
    <t>Relative Humidity</t>
    <phoneticPr fontId="3" type="noConversion"/>
  </si>
  <si>
    <t>预腐蚀</t>
    <phoneticPr fontId="3" type="noConversion"/>
  </si>
  <si>
    <t>prohesion</t>
    <phoneticPr fontId="3" type="noConversion"/>
  </si>
  <si>
    <t>可溶性盐污染物</t>
    <phoneticPr fontId="3" type="noConversion"/>
  </si>
  <si>
    <t>soluble salt contaminant</t>
    <phoneticPr fontId="3" type="noConversion"/>
  </si>
  <si>
    <t>可溶性盐</t>
    <phoneticPr fontId="3" type="noConversion"/>
  </si>
  <si>
    <t>soluble salts</t>
    <phoneticPr fontId="3" type="noConversion"/>
  </si>
  <si>
    <t>典型的涂装项目</t>
  </si>
  <si>
    <t>Typical Coating Project</t>
  </si>
  <si>
    <t>关于环氧涂料使用的注意事项</t>
    <phoneticPr fontId="3" type="noConversion"/>
  </si>
  <si>
    <t>Concerns regarding the Use of Epoxy Coatings</t>
    <phoneticPr fontId="3" type="noConversion"/>
  </si>
  <si>
    <t>基底金属读数（BMR）及其对涂层厚度测量的影响</t>
    <phoneticPr fontId="3" type="noConversion"/>
  </si>
  <si>
    <t>What is a Base Metal Reading and How Does It Effect Coating Thickness Measurements</t>
    <phoneticPr fontId="3" type="noConversion"/>
  </si>
  <si>
    <t>典型的涂装项目</t>
    <phoneticPr fontId="3" type="noConversion"/>
  </si>
  <si>
    <t>多组分涂料的部分混合问题</t>
    <phoneticPr fontId="3" type="noConversion"/>
  </si>
  <si>
    <t>Problems with Partial Mixing of Multi-Component Coatings</t>
    <phoneticPr fontId="3" type="noConversion"/>
  </si>
  <si>
    <t>黑色金属与有色金属的主要区别</t>
    <phoneticPr fontId="3" type="noConversion"/>
  </si>
  <si>
    <t>Key Differences Between Ferrous and Non-Ferrous Metals</t>
    <phoneticPr fontId="3" type="noConversion"/>
  </si>
  <si>
    <t>表面处理</t>
    <phoneticPr fontId="3" type="noConversion"/>
  </si>
  <si>
    <t>Surface Preparation</t>
    <phoneticPr fontId="3" type="noConversion"/>
  </si>
  <si>
    <t>简介</t>
    <phoneticPr fontId="3" type="noConversion"/>
  </si>
  <si>
    <t>Introduction</t>
    <phoneticPr fontId="3" type="noConversion"/>
  </si>
  <si>
    <t>附着的类型</t>
    <phoneticPr fontId="3" type="noConversion"/>
  </si>
  <si>
    <t>Types of Adhesion</t>
    <phoneticPr fontId="3" type="noConversion"/>
  </si>
  <si>
    <t>表面制备的目的</t>
    <phoneticPr fontId="3" type="noConversion"/>
  </si>
  <si>
    <t>Surface Preparation Objectives</t>
    <phoneticPr fontId="3" type="noConversion"/>
  </si>
  <si>
    <t>涂装基础知识</t>
  </si>
  <si>
    <t>Painting Basic Knowledge</t>
  </si>
  <si>
    <t>聚脲涂料与聚氨酯涂料</t>
    <phoneticPr fontId="3" type="noConversion"/>
  </si>
  <si>
    <t>Polyurea Vs Polyurethane Coatings</t>
    <phoneticPr fontId="3" type="noConversion"/>
  </si>
  <si>
    <r>
      <rPr>
        <sz val="8"/>
        <rFont val="微软雅黑"/>
        <family val="2"/>
        <charset val="134"/>
      </rPr>
      <t>涂装技术文档</t>
    </r>
  </si>
  <si>
    <r>
      <rPr>
        <sz val="8"/>
        <rFont val="微软雅黑"/>
        <family val="2"/>
        <charset val="134"/>
      </rPr>
      <t>涂装参考标准</t>
    </r>
  </si>
  <si>
    <t>Painting Referenced Standards</t>
  </si>
  <si>
    <t>AMPP MR21506 (2025)</t>
    <phoneticPr fontId="3" type="noConversion"/>
  </si>
  <si>
    <r>
      <rPr>
        <sz val="8"/>
        <rFont val="微软雅黑"/>
        <family val="2"/>
        <charset val="134"/>
      </rPr>
      <t>视频</t>
    </r>
  </si>
  <si>
    <r>
      <rPr>
        <sz val="8"/>
        <rFont val="微软雅黑"/>
        <family val="2"/>
        <charset val="134"/>
      </rPr>
      <t>演示</t>
    </r>
  </si>
  <si>
    <t>AMPP SP21513 (2021)</t>
    <phoneticPr fontId="3" type="noConversion"/>
  </si>
  <si>
    <t>AMPP-SP 19 (2025)</t>
    <phoneticPr fontId="3" type="noConversion"/>
  </si>
  <si>
    <t>ASTM D1212-91 (2020)</t>
    <phoneticPr fontId="3" type="noConversion"/>
  </si>
  <si>
    <t>ASTM D2197 (2022)</t>
    <phoneticPr fontId="3" type="noConversion"/>
  </si>
  <si>
    <t>ASTM D2197-16(2022)</t>
    <phoneticPr fontId="3" type="noConversion"/>
  </si>
  <si>
    <t>ASTM D2200-17(2021)</t>
    <phoneticPr fontId="3" type="noConversion"/>
  </si>
  <si>
    <t>ASTM D3274-09 (2021)</t>
    <phoneticPr fontId="3" type="noConversion"/>
  </si>
  <si>
    <r>
      <t>ASTM D3359-23</t>
    </r>
    <r>
      <rPr>
        <sz val="8"/>
        <rFont val="微软雅黑"/>
        <family val="2"/>
        <charset val="134"/>
      </rPr>
      <t>（附录</t>
    </r>
    <r>
      <rPr>
        <sz val="8"/>
        <rFont val="Calibri"/>
        <family val="2"/>
      </rPr>
      <t>-</t>
    </r>
    <r>
      <rPr>
        <sz val="8"/>
        <rFont val="微软雅黑"/>
        <family val="2"/>
        <charset val="134"/>
      </rPr>
      <t>评注）</t>
    </r>
    <phoneticPr fontId="3" type="noConversion"/>
  </si>
  <si>
    <r>
      <t>ASTM D3359-23 (Annex, Commentary)</t>
    </r>
    <r>
      <rPr>
        <sz val="8"/>
        <rFont val="微软雅黑"/>
        <family val="2"/>
        <charset val="134"/>
      </rPr>
      <t>）</t>
    </r>
    <phoneticPr fontId="3" type="noConversion"/>
  </si>
  <si>
    <t>ASTM D3359-24</t>
    <phoneticPr fontId="3" type="noConversion"/>
  </si>
  <si>
    <t>ASTM D3359-23</t>
    <phoneticPr fontId="3" type="noConversion"/>
  </si>
  <si>
    <t>ASTM D3363-22</t>
    <phoneticPr fontId="3" type="noConversion"/>
  </si>
  <si>
    <t>ASTM D4138-07a (2022)</t>
    <phoneticPr fontId="3" type="noConversion"/>
  </si>
  <si>
    <t>ASTM D4285-24</t>
    <phoneticPr fontId="3" type="noConversion"/>
  </si>
  <si>
    <t>ASTM D4414-95(2020)</t>
    <phoneticPr fontId="3" type="noConversion"/>
  </si>
  <si>
    <t>ASTM D4417-21</t>
    <phoneticPr fontId="3" type="noConversion"/>
  </si>
  <si>
    <t>ASTM D4541-22</t>
    <phoneticPr fontId="3" type="noConversion"/>
  </si>
  <si>
    <t>ASTM D4752-20 (2024)</t>
    <phoneticPr fontId="3" type="noConversion"/>
  </si>
  <si>
    <t>ASTM D4940-15 (2020)</t>
    <phoneticPr fontId="3" type="noConversion"/>
  </si>
  <si>
    <r>
      <t>ASTM D5402-19</t>
    </r>
    <r>
      <rPr>
        <sz val="8"/>
        <rFont val="微软雅黑"/>
        <family val="2"/>
        <charset val="134"/>
      </rPr>
      <t>（</t>
    </r>
    <r>
      <rPr>
        <sz val="8"/>
        <rFont val="Calibri"/>
        <family val="2"/>
      </rPr>
      <t>2024</t>
    </r>
    <r>
      <rPr>
        <sz val="8"/>
        <rFont val="微软雅黑"/>
        <family val="2"/>
        <charset val="134"/>
      </rPr>
      <t>）</t>
    </r>
    <phoneticPr fontId="3" type="noConversion"/>
  </si>
  <si>
    <t>ASTM D6677-18(2022)</t>
    <phoneticPr fontId="3" type="noConversion"/>
  </si>
  <si>
    <t>ASTM D7091-22</t>
    <phoneticPr fontId="3" type="noConversion"/>
  </si>
  <si>
    <t>ASTM D714-25</t>
    <phoneticPr fontId="3" type="noConversion"/>
  </si>
  <si>
    <t>ASTM D7234-22</t>
    <phoneticPr fontId="3" type="noConversion"/>
  </si>
  <si>
    <r>
      <t xml:space="preserve">ASTM D7234-22 </t>
    </r>
    <r>
      <rPr>
        <sz val="8"/>
        <rFont val="微软雅黑"/>
        <family val="2"/>
        <charset val="134"/>
      </rPr>
      <t>（附录</t>
    </r>
    <r>
      <rPr>
        <sz val="8"/>
        <rFont val="Calibri"/>
        <family val="2"/>
      </rPr>
      <t>—</t>
    </r>
    <r>
      <rPr>
        <sz val="8"/>
        <rFont val="微软雅黑"/>
        <family val="2"/>
        <charset val="134"/>
      </rPr>
      <t>结果的解读）</t>
    </r>
    <phoneticPr fontId="3" type="noConversion"/>
  </si>
  <si>
    <t>ASTM D7234-22 (Appendix, NTERPRETATION OF RESULTS )</t>
    <phoneticPr fontId="3" type="noConversion"/>
  </si>
  <si>
    <t>ASTM D7393-16 (2020)</t>
    <phoneticPr fontId="3" type="noConversion"/>
  </si>
  <si>
    <t>ASTM D7682-17</t>
    <phoneticPr fontId="3" type="noConversion"/>
  </si>
  <si>
    <t>ASTM E337-15(2023)</t>
    <phoneticPr fontId="3" type="noConversion"/>
  </si>
  <si>
    <t>ISO 11124-2 (2018)</t>
  </si>
  <si>
    <t>ISO 11124-3 (2018)</t>
  </si>
  <si>
    <t>ISO 11124-4 (2018)</t>
  </si>
  <si>
    <t>ISO 11124-5 (2018)</t>
  </si>
  <si>
    <t>ISO 11125-1 (2018)</t>
  </si>
  <si>
    <t>ISO 11125-2 (2018)</t>
  </si>
  <si>
    <t>ISO 11125-3 (2018)</t>
  </si>
  <si>
    <t>ISO 11125-4 (2018)</t>
  </si>
  <si>
    <t>ISO 11125-5 (2018)</t>
  </si>
  <si>
    <t>ISO 11125-6 (2018)</t>
  </si>
  <si>
    <t>ISO 11125-7 (2018)</t>
  </si>
  <si>
    <t>ISO 11126-1 (2018)</t>
  </si>
  <si>
    <t>ISO 11126-10 (2017)</t>
  </si>
  <si>
    <t>ISO 11126-11 (2025)</t>
  </si>
  <si>
    <t>ISO 11126-3 (2018)</t>
  </si>
  <si>
    <t>ISO 11126-4 (2018)</t>
  </si>
  <si>
    <t>ISO 11126-5 (2018)</t>
  </si>
  <si>
    <t>ISO 11126-6 (2018)</t>
  </si>
  <si>
    <t>ISO 11126-7 (2018)</t>
  </si>
  <si>
    <t>ISO 11126-8 (2018)</t>
  </si>
  <si>
    <t>ISO 11126-9 (1999)</t>
  </si>
  <si>
    <t>ISO 11127-1 (2020)</t>
  </si>
  <si>
    <t>ISO 11127-2 (2020)</t>
  </si>
  <si>
    <t>ISO 11127-3 (2020)</t>
  </si>
  <si>
    <t>ISO 11127-4 (2020)</t>
  </si>
  <si>
    <t>ISO 11127-5 (2020)</t>
  </si>
  <si>
    <t>ISO 11127-7 (2022)</t>
  </si>
  <si>
    <t>ISO 11127-8 (2020)</t>
  </si>
  <si>
    <t>ISO 12944-1 (2017)</t>
  </si>
  <si>
    <t>ISO 12944-1 (2017)</t>
    <phoneticPr fontId="3" type="noConversion"/>
  </si>
  <si>
    <t>ISO 15184 (2020)</t>
    <phoneticPr fontId="3" type="noConversion"/>
  </si>
  <si>
    <t>ISO 16276-1 (2025)</t>
    <phoneticPr fontId="3" type="noConversion"/>
  </si>
  <si>
    <r>
      <t>ISO 16276-1, 2025</t>
    </r>
    <r>
      <rPr>
        <sz val="8"/>
        <rFont val="微软雅黑"/>
        <family val="2"/>
        <charset val="134"/>
      </rPr>
      <t>年更新内容的介绍</t>
    </r>
    <phoneticPr fontId="3" type="noConversion"/>
  </si>
  <si>
    <t>ISO 16276-1, 2007 Vs 2025</t>
    <phoneticPr fontId="3" type="noConversion"/>
  </si>
  <si>
    <t>ISO 16276-2 (2025)</t>
    <phoneticPr fontId="3" type="noConversion"/>
  </si>
  <si>
    <t>ISO 19840-2012</t>
  </si>
  <si>
    <t>ISO19840-2012</t>
  </si>
  <si>
    <t>ISO 2409 (2020)</t>
    <phoneticPr fontId="3" type="noConversion"/>
  </si>
  <si>
    <t>ISO 4624 (2023)</t>
    <phoneticPr fontId="3" type="noConversion"/>
  </si>
  <si>
    <t>ISO 8501-1 (2007)</t>
    <phoneticPr fontId="3" type="noConversion"/>
  </si>
  <si>
    <t>ISO 8501-2 (1994)</t>
    <phoneticPr fontId="3" type="noConversion"/>
  </si>
  <si>
    <t>ISO 8501-3 (2006)</t>
    <phoneticPr fontId="3" type="noConversion"/>
  </si>
  <si>
    <t>ISO 8501-4 (2020)</t>
    <phoneticPr fontId="3" type="noConversion"/>
  </si>
  <si>
    <t>ISO 8502-15 (2020)</t>
    <phoneticPr fontId="3" type="noConversion"/>
  </si>
  <si>
    <t>ISO 8502–3 (2017)</t>
    <phoneticPr fontId="3" type="noConversion"/>
  </si>
  <si>
    <t>ISO 8502–4 (2017)</t>
    <phoneticPr fontId="3" type="noConversion"/>
  </si>
  <si>
    <t>ISO 8502-5 (2017)</t>
    <phoneticPr fontId="3" type="noConversion"/>
  </si>
  <si>
    <t>ISO 8502-6 (2020)</t>
    <phoneticPr fontId="3" type="noConversion"/>
  </si>
  <si>
    <t>ISO 8502-9 (2020)</t>
    <phoneticPr fontId="3" type="noConversion"/>
  </si>
  <si>
    <t>ISO 8503-1 (2012)</t>
    <phoneticPr fontId="3" type="noConversion"/>
  </si>
  <si>
    <t>ISO 8503-2 (2012)</t>
    <phoneticPr fontId="3" type="noConversion"/>
  </si>
  <si>
    <t>ISO 8503-3 (2012)</t>
    <phoneticPr fontId="3" type="noConversion"/>
  </si>
  <si>
    <t>ISO 8503-4 (2012)</t>
    <phoneticPr fontId="3" type="noConversion"/>
  </si>
  <si>
    <t>ISO 8503-5 (2017)</t>
    <phoneticPr fontId="3" type="noConversion"/>
  </si>
  <si>
    <t>ISO 8504-1 (2019)</t>
    <phoneticPr fontId="3" type="noConversion"/>
  </si>
  <si>
    <t>ISO 8504-2 (2019)</t>
  </si>
  <si>
    <t>ISO 8504-3 (2018)</t>
  </si>
  <si>
    <t>ISO 8504-4 (2022)</t>
  </si>
  <si>
    <t>ISO11124-1 (2018)</t>
  </si>
  <si>
    <t>NACE SP0287 (2024)</t>
    <phoneticPr fontId="3" type="noConversion"/>
  </si>
  <si>
    <t>NACE SP0716 (2023)</t>
    <phoneticPr fontId="3" type="noConversion"/>
  </si>
  <si>
    <t>SSPC PA 17 (2020)</t>
    <phoneticPr fontId="3" type="noConversion"/>
  </si>
  <si>
    <t>SSPC PA 2 (2022)</t>
    <phoneticPr fontId="3" type="noConversion"/>
  </si>
  <si>
    <r>
      <t xml:space="preserve">SSPC </t>
    </r>
    <r>
      <rPr>
        <sz val="8"/>
        <rFont val="微软雅黑"/>
        <family val="2"/>
        <charset val="134"/>
      </rPr>
      <t>磨料标准</t>
    </r>
    <r>
      <rPr>
        <sz val="8"/>
        <rFont val="Calibri"/>
        <family val="2"/>
      </rPr>
      <t xml:space="preserve"> No 1 (2019)</t>
    </r>
    <phoneticPr fontId="3" type="noConversion"/>
  </si>
  <si>
    <t>SSPC-AB 1 (2019)</t>
    <phoneticPr fontId="3" type="noConversion"/>
  </si>
  <si>
    <r>
      <t xml:space="preserve">SSPC </t>
    </r>
    <r>
      <rPr>
        <sz val="8"/>
        <rFont val="微软雅黑"/>
        <family val="2"/>
        <charset val="134"/>
      </rPr>
      <t>磨料标准</t>
    </r>
    <r>
      <rPr>
        <sz val="8"/>
        <rFont val="Calibri"/>
        <family val="2"/>
      </rPr>
      <t xml:space="preserve"> No 2 (2016)</t>
    </r>
    <phoneticPr fontId="3" type="noConversion"/>
  </si>
  <si>
    <t>SSPC-AB 2 (2016)</t>
    <phoneticPr fontId="3" type="noConversion"/>
  </si>
  <si>
    <r>
      <t xml:space="preserve">SSPC </t>
    </r>
    <r>
      <rPr>
        <sz val="8"/>
        <rFont val="微软雅黑"/>
        <family val="2"/>
        <charset val="134"/>
      </rPr>
      <t>磨料标准</t>
    </r>
    <r>
      <rPr>
        <sz val="8"/>
        <rFont val="Calibri"/>
        <family val="2"/>
      </rPr>
      <t xml:space="preserve"> No. 3 (2023)</t>
    </r>
    <phoneticPr fontId="3" type="noConversion"/>
  </si>
  <si>
    <t>SSPC-AB 3 (2023)</t>
    <phoneticPr fontId="3" type="noConversion"/>
  </si>
  <si>
    <r>
      <t xml:space="preserve">SSPC </t>
    </r>
    <r>
      <rPr>
        <sz val="8"/>
        <rFont val="微软雅黑"/>
        <family val="2"/>
        <charset val="134"/>
      </rPr>
      <t>指南</t>
    </r>
    <r>
      <rPr>
        <sz val="8"/>
        <rFont val="Calibri"/>
        <family val="2"/>
      </rPr>
      <t xml:space="preserve"> 15 (2020)</t>
    </r>
    <phoneticPr fontId="3" type="noConversion"/>
  </si>
  <si>
    <t>SSPC-GUIDE 15 (2020)</t>
    <phoneticPr fontId="3" type="noConversion"/>
  </si>
  <si>
    <r>
      <t xml:space="preserve">SSPC </t>
    </r>
    <r>
      <rPr>
        <sz val="8"/>
        <rFont val="微软雅黑"/>
        <family val="2"/>
        <charset val="134"/>
      </rPr>
      <t>指南</t>
    </r>
    <r>
      <rPr>
        <sz val="8"/>
        <rFont val="Calibri"/>
        <family val="2"/>
      </rPr>
      <t xml:space="preserve"> 24 (2018)</t>
    </r>
    <phoneticPr fontId="3" type="noConversion"/>
  </si>
  <si>
    <t>SSPC-GUIDE 24 (2018)</t>
    <phoneticPr fontId="3" type="noConversion"/>
  </si>
  <si>
    <t>SSPC-SP 1 (2016)</t>
  </si>
  <si>
    <t>SSPC-SP 10_NACE No.2  (2024)</t>
  </si>
  <si>
    <t>SSPC-SP 11 (2020)</t>
  </si>
  <si>
    <t>SSPC-SP 13_NACE No. 6 (2018)</t>
    <phoneticPr fontId="3" type="noConversion"/>
  </si>
  <si>
    <r>
      <t>SSPC-SP 13_NACE No. 6 (2018)</t>
    </r>
    <r>
      <rPr>
        <sz val="8"/>
        <rFont val="微软雅黑"/>
        <family val="2"/>
        <charset val="134"/>
      </rPr>
      <t>，附录</t>
    </r>
    <r>
      <rPr>
        <sz val="8"/>
        <rFont val="Calibri"/>
        <family val="2"/>
      </rPr>
      <t xml:space="preserve"> A</t>
    </r>
    <r>
      <rPr>
        <sz val="8"/>
        <rFont val="微软雅黑"/>
        <family val="2"/>
        <charset val="134"/>
      </rPr>
      <t>，注释</t>
    </r>
    <phoneticPr fontId="3" type="noConversion"/>
  </si>
  <si>
    <t>SSPC-SP 13_NACE No. 6 (2018), Appendix A: Comments</t>
    <phoneticPr fontId="3" type="noConversion"/>
  </si>
  <si>
    <t>SSPC-SP 14_NACE No.8 (2007)</t>
  </si>
  <si>
    <t>SSPC-SP 14_NACE No.8 (2007)</t>
    <phoneticPr fontId="3" type="noConversion"/>
  </si>
  <si>
    <t>SSPC-SP 15 (2013)</t>
  </si>
  <si>
    <t>SSPC-SP 16 (2020)</t>
  </si>
  <si>
    <r>
      <t>SSPC-SP 16 (2020)</t>
    </r>
    <r>
      <rPr>
        <sz val="8"/>
        <rFont val="微软雅黑"/>
        <family val="2"/>
        <charset val="134"/>
      </rPr>
      <t>，附录</t>
    </r>
    <r>
      <rPr>
        <sz val="8"/>
        <rFont val="Calibri"/>
        <family val="2"/>
      </rPr>
      <t xml:space="preserve"> A</t>
    </r>
    <phoneticPr fontId="3" type="noConversion"/>
  </si>
  <si>
    <r>
      <t>SSPC-SP 16 (2020)</t>
    </r>
    <r>
      <rPr>
        <sz val="8"/>
        <rFont val="微软雅黑"/>
        <family val="2"/>
        <charset val="134"/>
      </rPr>
      <t>，</t>
    </r>
    <r>
      <rPr>
        <sz val="8"/>
        <rFont val="Calibri"/>
        <family val="2"/>
      </rPr>
      <t>Appendix A</t>
    </r>
    <phoneticPr fontId="3" type="noConversion"/>
  </si>
  <si>
    <t>SSPC-SP 17 (2019)</t>
  </si>
  <si>
    <r>
      <t>SSPC-SP 17 (2019)</t>
    </r>
    <r>
      <rPr>
        <sz val="8"/>
        <rFont val="微软雅黑"/>
        <family val="2"/>
        <charset val="134"/>
      </rPr>
      <t>，附录</t>
    </r>
    <r>
      <rPr>
        <sz val="8"/>
        <rFont val="Calibri"/>
        <family val="2"/>
      </rPr>
      <t xml:space="preserve"> A</t>
    </r>
    <phoneticPr fontId="3" type="noConversion"/>
  </si>
  <si>
    <t>SSPC-SP 17 (2019), Appendix A</t>
    <phoneticPr fontId="3" type="noConversion"/>
  </si>
  <si>
    <t>SSPC-SP 18 (2020)</t>
  </si>
  <si>
    <t>SSPC-SP 18 (2020)</t>
    <phoneticPr fontId="3" type="noConversion"/>
  </si>
  <si>
    <r>
      <t>SSPC-SP 18 (2020)</t>
    </r>
    <r>
      <rPr>
        <sz val="8"/>
        <rFont val="宋体"/>
        <family val="2"/>
        <charset val="134"/>
      </rPr>
      <t>，</t>
    </r>
    <r>
      <rPr>
        <sz val="8"/>
        <rFont val="微软雅黑"/>
        <family val="2"/>
        <charset val="134"/>
      </rPr>
      <t>附录</t>
    </r>
    <phoneticPr fontId="3" type="noConversion"/>
  </si>
  <si>
    <t>SSPC-SP 18 (2020), Appendix</t>
    <phoneticPr fontId="3" type="noConversion"/>
  </si>
  <si>
    <t>SSPC-SP 2 (2024)</t>
  </si>
  <si>
    <t>SSPC-SP 2 (2024)</t>
    <phoneticPr fontId="3" type="noConversion"/>
  </si>
  <si>
    <t>SSPC-SP 3 (2024)</t>
  </si>
  <si>
    <t>SSPC-SP 5_NACE No.1  (2007)</t>
  </si>
  <si>
    <t>SSPC-SP 6_NACE No.3  (2007)</t>
  </si>
  <si>
    <t>SSPC-SP 7_NACE No.4  (2007)</t>
  </si>
  <si>
    <t>SSPC-SP 8 (2004)</t>
  </si>
  <si>
    <r>
      <t>SSPC</t>
    </r>
    <r>
      <rPr>
        <sz val="8"/>
        <rFont val="微软雅黑"/>
        <family val="2"/>
        <charset val="134"/>
      </rPr>
      <t>标准中的引用要求以及补充性行业标准</t>
    </r>
    <phoneticPr fontId="3" type="noConversion"/>
  </si>
  <si>
    <t>Referenced Requirements in SSPC Standards and Complimentary Industry Standards</t>
    <phoneticPr fontId="3" type="noConversion"/>
  </si>
  <si>
    <t>石墨烯</t>
    <phoneticPr fontId="3" type="noConversion"/>
  </si>
  <si>
    <t>Graphene</t>
    <phoneticPr fontId="3" type="noConversion"/>
  </si>
  <si>
    <t>聚脲</t>
    <phoneticPr fontId="3" type="noConversion"/>
  </si>
  <si>
    <t>Polyurea</t>
    <phoneticPr fontId="3" type="noConversion"/>
  </si>
  <si>
    <t>碳酸化</t>
    <phoneticPr fontId="3" type="noConversion"/>
  </si>
  <si>
    <t>Carbonation</t>
    <phoneticPr fontId="3" type="noConversion"/>
  </si>
  <si>
    <t>污渍</t>
    <phoneticPr fontId="3" type="noConversion"/>
  </si>
  <si>
    <t>staining</t>
    <phoneticPr fontId="3" type="noConversion"/>
  </si>
  <si>
    <t>动力工具清理制备的表面粗糙度</t>
    <phoneticPr fontId="3" type="noConversion"/>
  </si>
  <si>
    <t>The roughness of the surface prepared by power tools cleaning</t>
    <phoneticPr fontId="3" type="noConversion"/>
  </si>
  <si>
    <t>为色彩和保护设定黄金标准</t>
    <phoneticPr fontId="3" type="noConversion"/>
  </si>
  <si>
    <t>Specifying the Gold Standard for Color and Protection</t>
    <phoneticPr fontId="3" type="noConversion"/>
  </si>
  <si>
    <t>CATEGORY 1</t>
    <phoneticPr fontId="3" type="noConversion"/>
  </si>
  <si>
    <t>CATEGORY 2</t>
  </si>
  <si>
    <t>TYPE</t>
    <phoneticPr fontId="3" type="noConversion"/>
  </si>
  <si>
    <t>涂装标准</t>
    <phoneticPr fontId="3" type="noConversion"/>
  </si>
  <si>
    <t>Typical Coating Project</t>
    <phoneticPr fontId="3" type="noConversion"/>
  </si>
  <si>
    <t>视频</t>
    <phoneticPr fontId="3" type="noConversion"/>
  </si>
  <si>
    <t>VIDEO</t>
    <phoneticPr fontId="3" type="noConversion"/>
  </si>
  <si>
    <t>ISO</t>
    <phoneticPr fontId="3" type="noConversion"/>
  </si>
  <si>
    <t>保护涂层的防腐</t>
    <phoneticPr fontId="3" type="noConversion"/>
  </si>
  <si>
    <t>CORROSION PREVENTION BY PROTECTIVE COATING</t>
    <phoneticPr fontId="3" type="noConversion"/>
  </si>
  <si>
    <t>文章</t>
    <phoneticPr fontId="3" type="noConversion"/>
  </si>
  <si>
    <t>ARTICLE</t>
    <phoneticPr fontId="3" type="noConversion"/>
  </si>
  <si>
    <t>ASTM</t>
    <phoneticPr fontId="3" type="noConversion"/>
  </si>
  <si>
    <t>Painting Referenced Standards</t>
    <phoneticPr fontId="3" type="noConversion"/>
  </si>
  <si>
    <t>演示</t>
    <phoneticPr fontId="3" type="noConversion"/>
  </si>
  <si>
    <t>POWERPOINT</t>
    <phoneticPr fontId="3" type="noConversion"/>
  </si>
  <si>
    <t>AMPP</t>
    <phoneticPr fontId="3" type="noConversion"/>
  </si>
  <si>
    <t>涂装基础知识</t>
    <phoneticPr fontId="3" type="noConversion"/>
  </si>
  <si>
    <t>Painting Basic Knowledge</t>
    <phoneticPr fontId="3" type="noConversion"/>
  </si>
  <si>
    <t>检查设备</t>
    <phoneticPr fontId="3" type="noConversion"/>
  </si>
  <si>
    <t>Inspection Equipment</t>
    <phoneticPr fontId="3" type="noConversion"/>
  </si>
  <si>
    <t>NACE</t>
    <phoneticPr fontId="3" type="noConversion"/>
  </si>
  <si>
    <t>涂装技术文档</t>
    <phoneticPr fontId="3" type="noConversion"/>
  </si>
  <si>
    <t>术语和定义</t>
    <phoneticPr fontId="3" type="noConversion"/>
  </si>
  <si>
    <t>Terms and Definitions</t>
    <phoneticPr fontId="3" type="noConversion"/>
  </si>
  <si>
    <t>SSPC</t>
    <phoneticPr fontId="3" type="noConversion"/>
  </si>
  <si>
    <t>锈蚀，腐蚀和降解</t>
    <phoneticPr fontId="3" type="noConversion"/>
  </si>
  <si>
    <t>Rusting, Corrosion and Degradation</t>
    <phoneticPr fontId="3" type="noConversion"/>
  </si>
  <si>
    <t>涂料基础知识</t>
    <phoneticPr fontId="3" type="noConversion"/>
  </si>
  <si>
    <t>Coating Basic Knowledge</t>
    <phoneticPr fontId="3" type="noConversion"/>
  </si>
  <si>
    <t>OTHERS</t>
    <phoneticPr fontId="3" type="noConversion"/>
  </si>
  <si>
    <t>The Role and Responsibilities of a painting inspector</t>
    <phoneticPr fontId="3" type="noConversion"/>
  </si>
  <si>
    <t>校准，精度验证和调准</t>
    <phoneticPr fontId="3" type="noConversion"/>
  </si>
  <si>
    <t>Calibration Verification of Accuracy and Adjustment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</si>
</sst>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"/>
  </numFmts>
  <fonts count="9" x14ac:knownFonts="1">
    <font>
      <sz val="11"/>
      <color theme="1"/>
      <name val="等线"/>
      <family val="2"/>
      <charset val="134"/>
      <scheme val="minor"/>
    </font>
    <font>
      <sz val="8"/>
      <name val="Calibri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8"/>
      <name val="微软雅黑"/>
      <family val="2"/>
      <charset val="134"/>
    </font>
    <font>
      <sz val="9"/>
      <name val="Century Gothic"/>
      <family val="2"/>
      <charset val="134"/>
    </font>
    <font>
      <sz val="8"/>
      <color theme="1"/>
      <name val="Calibri"/>
      <family val="2"/>
    </font>
    <font>
      <sz val="8"/>
      <name val="宋体"/>
      <family val="2"/>
      <charset val="134"/>
    </font>
    <font>
      <sz val="8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numFmt numFmtId="177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numFmt numFmtId="177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2FB05C-1702-443E-BB71-56B029092CA5}" name="表_5" displayName="表_5" ref="A1:O999" totalsRowCount="1" headerRowDxfId="32" dataDxfId="31" totalsRowDxfId="30">
  <tableColumns count="15">
    <tableColumn id="1" xr3:uid="{4F1A6E36-17F7-4C1A-8DC1-4ED74DAEA7CB}" name="No" dataDxfId="28" totalsRowDxfId="29"/>
    <tableColumn id="2" xr3:uid="{E783FF1B-8DA4-425C-B265-6062F5CBE19A}" name="类别一" dataDxfId="26" totalsRowDxfId="27"/>
    <tableColumn id="3" xr3:uid="{B64E23F6-9AF2-4179-BF79-3EB931A2E44D}" name="Category 1" dataDxfId="24" totalsRowDxfId="25"/>
    <tableColumn id="4" xr3:uid="{EB022AB9-6C9C-4446-B29A-2E2C322209DC}" name="类别二" dataDxfId="22" totalsRowDxfId="23"/>
    <tableColumn id="5" xr3:uid="{2AF1DD77-D17C-402A-9DAF-E609CFD30532}" name="Category 2" dataDxfId="20" totalsRowDxfId="21"/>
    <tableColumn id="6" xr3:uid="{A66EBE7E-CBF8-4219-B486-A84D96D10B49}" name="类别三" dataDxfId="18" totalsRowDxfId="19"/>
    <tableColumn id="7" xr3:uid="{D2A0A101-ABE3-4FCE-B435-B1A455EF6BF3}" name="Category 3" dataDxfId="16" totalsRowDxfId="17"/>
    <tableColumn id="8" xr3:uid="{5A14CDDD-3B38-4066-A2F7-99625A85D07B}" name="模块名" dataDxfId="14" totalsRowDxfId="15"/>
    <tableColumn id="9" xr3:uid="{BF414850-ABFA-45DD-B859-68AB46C6B05E}" name="Module Name" dataDxfId="12" totalsRowDxfId="13"/>
    <tableColumn id="10" xr3:uid="{DA19EB23-7EF0-4E66-B80D-6E0B1F42634E}" name="类型" dataDxfId="10" totalsRowDxfId="11"/>
    <tableColumn id="11" xr3:uid="{B13A1D7B-770C-4112-8F8F-DFFF4FF492EA}" name="类型2" dataDxfId="8" totalsRowDxfId="9"/>
    <tableColumn id="12" xr3:uid="{104248BD-B782-428F-B3C5-16A595B6D908}" name="类型3" dataDxfId="6" totalsRowDxfId="7"/>
    <tableColumn id="13" xr3:uid="{7370B28F-D8DE-4284-B2D7-7F74A582F5C2}" name="时长" totalsRowFunction="custom" dataDxfId="4" totalsRowDxfId="5">
      <calculatedColumnFormula>5+37/60</calculatedColumnFormula>
      <totalsRowFormula>SUM(M2:M998)</totalsRowFormula>
    </tableColumn>
    <tableColumn id="14" xr3:uid="{DB7DDE27-15AA-4C99-A7AF-3D53A5B9AF0F}" name="字数" totalsRowFunction="custom" dataDxfId="2" totalsRowDxfId="3">
      <calculatedColumnFormula>1648</calculatedColumnFormula>
      <totalsRowFormula>SUM(N2:N998)</totalsRowFormula>
    </tableColumn>
    <tableColumn id="15" xr3:uid="{C48C1EAD-F368-4BBB-BB97-5907C151C715}" name="平均" totalsRowFunction="custom" dataDxfId="0" totalsRowDxfId="1">
      <calculatedColumnFormula>N2/M2</calculatedColumnFormula>
      <totalsRowFormula>表_5[[#Totals],[字数]]/表_5[[#Totals],[时长]]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6EF1-2570-4EE7-8A3E-88DD9F891D3C}">
  <dimension ref="A1:O999"/>
  <sheetViews>
    <sheetView workbookViewId="0">
      <selection activeCell="D29" sqref="D29"/>
    </sheetView>
  </sheetViews>
  <sheetFormatPr defaultRowHeight="11.25" x14ac:dyDescent="0.4"/>
  <cols>
    <col min="1" max="1" width="3.19921875" style="1" bestFit="1" customWidth="1"/>
    <col min="2" max="2" width="12.53125" style="2" bestFit="1" customWidth="1"/>
    <col min="3" max="3" width="22.1328125" style="1" bestFit="1" customWidth="1"/>
    <col min="4" max="4" width="17.06640625" style="1" bestFit="1" customWidth="1"/>
    <col min="5" max="5" width="32.1328125" style="1" bestFit="1" customWidth="1"/>
    <col min="6" max="6" width="21.53125" style="2" bestFit="1" customWidth="1"/>
    <col min="7" max="7" width="41.1328125" style="1" bestFit="1" customWidth="1"/>
    <col min="8" max="8" width="45.1328125" style="2" bestFit="1" customWidth="1"/>
    <col min="9" max="9" width="66.3984375" style="1" bestFit="1" customWidth="1"/>
    <col min="10" max="10" width="3.9296875" style="2" bestFit="1" customWidth="1"/>
    <col min="11" max="12" width="4.796875" style="1" bestFit="1" customWidth="1"/>
    <col min="13" max="13" width="5" style="1" bestFit="1" customWidth="1"/>
    <col min="14" max="14" width="5.33203125" style="1" bestFit="1" customWidth="1"/>
    <col min="15" max="15" width="5.53125" style="1" bestFit="1" customWidth="1"/>
    <col min="16" max="16384" width="9.06640625" style="1"/>
  </cols>
  <sheetData>
    <row r="1" spans="1:15" x14ac:dyDescent="0.4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</row>
    <row r="2" spans="1:15" x14ac:dyDescent="0.4">
      <c r="A2" s="1">
        <v>1</v>
      </c>
      <c r="D2" s="2" t="s">
        <v>15</v>
      </c>
      <c r="E2" s="1" t="s">
        <v>16</v>
      </c>
      <c r="H2" s="2" t="s">
        <v>17</v>
      </c>
      <c r="I2" s="1" t="s">
        <v>18</v>
      </c>
      <c r="J2" s="2" t="s">
        <v>19</v>
      </c>
      <c r="K2" s="2" t="s">
        <v>20</v>
      </c>
      <c r="L2" s="2"/>
      <c r="M2" s="6">
        <f t="shared" ref="M2" si="0">5+37/60</f>
        <v>5.6166666666666671</v>
      </c>
      <c r="N2" s="1">
        <f>1648</f>
        <v>1648</v>
      </c>
      <c r="O2" s="7">
        <f t="shared" ref="O2:O65" si="1">N2/M2</f>
        <v>293.41246290801183</v>
      </c>
    </row>
    <row r="3" spans="1:15" x14ac:dyDescent="0.4">
      <c r="A3" s="1">
        <v>2</v>
      </c>
      <c r="D3" s="2" t="s">
        <v>21</v>
      </c>
      <c r="E3" s="1" t="s">
        <v>22</v>
      </c>
      <c r="H3" s="2" t="s">
        <v>23</v>
      </c>
      <c r="I3" s="1" t="s">
        <v>24</v>
      </c>
      <c r="J3" s="2" t="s">
        <v>19</v>
      </c>
      <c r="K3" s="1" t="s">
        <v>20</v>
      </c>
      <c r="M3" s="6">
        <f>11+44/60</f>
        <v>11.733333333333333</v>
      </c>
      <c r="N3" s="7">
        <v>3295</v>
      </c>
      <c r="O3" s="7">
        <f t="shared" si="1"/>
        <v>280.82386363636368</v>
      </c>
    </row>
    <row r="4" spans="1:15" x14ac:dyDescent="0.4">
      <c r="A4" s="1">
        <v>3</v>
      </c>
      <c r="B4" s="2" t="s">
        <v>25</v>
      </c>
      <c r="C4" s="1" t="s">
        <v>26</v>
      </c>
      <c r="D4" s="2"/>
      <c r="F4" s="2" t="s">
        <v>27</v>
      </c>
      <c r="G4" s="1" t="s">
        <v>28</v>
      </c>
      <c r="H4" s="2" t="s">
        <v>29</v>
      </c>
      <c r="I4" s="1" t="s">
        <v>30</v>
      </c>
      <c r="J4" s="2" t="s">
        <v>19</v>
      </c>
      <c r="K4" s="1" t="s">
        <v>20</v>
      </c>
      <c r="M4" s="6">
        <f>8+45/60</f>
        <v>8.75</v>
      </c>
      <c r="N4" s="7">
        <f>2466</f>
        <v>2466</v>
      </c>
      <c r="O4" s="7">
        <f t="shared" si="1"/>
        <v>281.82857142857142</v>
      </c>
    </row>
    <row r="5" spans="1:15" x14ac:dyDescent="0.4">
      <c r="A5" s="1">
        <v>4</v>
      </c>
      <c r="B5" s="2" t="s">
        <v>25</v>
      </c>
      <c r="C5" s="1" t="s">
        <v>31</v>
      </c>
      <c r="D5" s="2"/>
      <c r="H5" s="2" t="s">
        <v>32</v>
      </c>
      <c r="I5" s="1" t="s">
        <v>33</v>
      </c>
      <c r="J5" s="2" t="s">
        <v>19</v>
      </c>
      <c r="K5" s="1" t="s">
        <v>20</v>
      </c>
      <c r="M5" s="6">
        <f>4+0/60</f>
        <v>4</v>
      </c>
      <c r="N5" s="7">
        <f>1132</f>
        <v>1132</v>
      </c>
      <c r="O5" s="7">
        <f t="shared" si="1"/>
        <v>283</v>
      </c>
    </row>
    <row r="6" spans="1:15" x14ac:dyDescent="0.4">
      <c r="A6" s="1">
        <v>5</v>
      </c>
      <c r="D6" s="2" t="s">
        <v>15</v>
      </c>
      <c r="E6" s="1" t="s">
        <v>16</v>
      </c>
      <c r="H6" s="2" t="s">
        <v>34</v>
      </c>
      <c r="I6" s="1" t="s">
        <v>35</v>
      </c>
      <c r="J6" s="2" t="s">
        <v>19</v>
      </c>
      <c r="K6" s="1" t="s">
        <v>20</v>
      </c>
      <c r="M6" s="6">
        <f>2+51/60</f>
        <v>2.85</v>
      </c>
      <c r="N6" s="7">
        <f>805</f>
        <v>805</v>
      </c>
      <c r="O6" s="7">
        <f t="shared" si="1"/>
        <v>282.45614035087721</v>
      </c>
    </row>
    <row r="7" spans="1:15" x14ac:dyDescent="0.4">
      <c r="A7" s="1">
        <v>6</v>
      </c>
      <c r="D7" s="2" t="s">
        <v>15</v>
      </c>
      <c r="E7" s="1" t="s">
        <v>16</v>
      </c>
      <c r="H7" s="2" t="s">
        <v>36</v>
      </c>
      <c r="I7" s="1" t="s">
        <v>37</v>
      </c>
      <c r="J7" s="2" t="s">
        <v>19</v>
      </c>
      <c r="K7" s="1" t="s">
        <v>20</v>
      </c>
      <c r="M7" s="6">
        <f>6+31/60</f>
        <v>6.5166666666666666</v>
      </c>
      <c r="N7" s="7">
        <f>1839</f>
        <v>1839</v>
      </c>
      <c r="O7" s="7">
        <f t="shared" si="1"/>
        <v>282.19948849104861</v>
      </c>
    </row>
    <row r="8" spans="1:15" x14ac:dyDescent="0.4">
      <c r="A8" s="1">
        <v>7</v>
      </c>
      <c r="D8" s="2" t="s">
        <v>15</v>
      </c>
      <c r="E8" s="1" t="s">
        <v>16</v>
      </c>
      <c r="H8" s="2" t="s">
        <v>38</v>
      </c>
      <c r="I8" s="1" t="s">
        <v>39</v>
      </c>
      <c r="J8" s="2" t="s">
        <v>19</v>
      </c>
      <c r="K8" s="1" t="s">
        <v>20</v>
      </c>
      <c r="M8" s="6">
        <f>13+1/60</f>
        <v>13.016666666666667</v>
      </c>
      <c r="N8" s="7">
        <v>3800</v>
      </c>
      <c r="O8" s="7">
        <f t="shared" si="1"/>
        <v>291.93341869398205</v>
      </c>
    </row>
    <row r="9" spans="1:15" x14ac:dyDescent="0.4">
      <c r="A9" s="1">
        <v>8</v>
      </c>
      <c r="D9" s="2" t="s">
        <v>40</v>
      </c>
      <c r="E9" s="1" t="s">
        <v>41</v>
      </c>
      <c r="F9" s="2" t="s">
        <v>42</v>
      </c>
      <c r="G9" s="1" t="s">
        <v>43</v>
      </c>
      <c r="H9" s="2" t="s">
        <v>44</v>
      </c>
      <c r="I9" s="1" t="s">
        <v>45</v>
      </c>
      <c r="J9" s="2" t="s">
        <v>19</v>
      </c>
      <c r="K9" s="1" t="s">
        <v>20</v>
      </c>
      <c r="M9" s="6">
        <f>4+5/60</f>
        <v>4.083333333333333</v>
      </c>
      <c r="N9" s="7">
        <f>1145</f>
        <v>1145</v>
      </c>
      <c r="O9" s="7">
        <f t="shared" si="1"/>
        <v>280.40816326530614</v>
      </c>
    </row>
    <row r="10" spans="1:15" x14ac:dyDescent="0.4">
      <c r="A10" s="1">
        <v>9</v>
      </c>
      <c r="D10" s="2" t="s">
        <v>40</v>
      </c>
      <c r="E10" s="1" t="s">
        <v>41</v>
      </c>
      <c r="H10" s="2" t="s">
        <v>46</v>
      </c>
      <c r="I10" s="1" t="s">
        <v>47</v>
      </c>
      <c r="J10" s="2" t="s">
        <v>19</v>
      </c>
      <c r="K10" s="1" t="s">
        <v>20</v>
      </c>
      <c r="M10" s="6">
        <f>7+9/60</f>
        <v>7.15</v>
      </c>
      <c r="N10" s="7">
        <v>2003</v>
      </c>
      <c r="O10" s="7">
        <f t="shared" si="1"/>
        <v>280.1398601398601</v>
      </c>
    </row>
    <row r="11" spans="1:15" x14ac:dyDescent="0.4">
      <c r="A11" s="1">
        <v>10</v>
      </c>
      <c r="D11" s="2" t="s">
        <v>40</v>
      </c>
      <c r="E11" s="1" t="s">
        <v>41</v>
      </c>
      <c r="H11" s="2" t="s">
        <v>48</v>
      </c>
      <c r="I11" s="1" t="s">
        <v>49</v>
      </c>
      <c r="J11" s="2" t="s">
        <v>19</v>
      </c>
      <c r="K11" s="1" t="s">
        <v>20</v>
      </c>
      <c r="M11" s="6">
        <f>5+40/60</f>
        <v>5.666666666666667</v>
      </c>
      <c r="N11" s="7">
        <f>1588</f>
        <v>1588</v>
      </c>
      <c r="O11" s="7">
        <f t="shared" si="1"/>
        <v>280.23529411764707</v>
      </c>
    </row>
    <row r="12" spans="1:15" x14ac:dyDescent="0.4">
      <c r="A12" s="1">
        <v>11</v>
      </c>
      <c r="D12" s="2" t="s">
        <v>15</v>
      </c>
      <c r="E12" s="1" t="s">
        <v>16</v>
      </c>
      <c r="H12" s="2" t="s">
        <v>50</v>
      </c>
      <c r="I12" s="1" t="s">
        <v>51</v>
      </c>
      <c r="J12" s="2" t="s">
        <v>19</v>
      </c>
      <c r="K12" s="1" t="s">
        <v>20</v>
      </c>
      <c r="M12" s="6">
        <f>3+25/60</f>
        <v>3.4166666666666665</v>
      </c>
      <c r="N12" s="7">
        <v>958</v>
      </c>
      <c r="O12" s="7">
        <f t="shared" si="1"/>
        <v>280.39024390243901</v>
      </c>
    </row>
    <row r="13" spans="1:15" x14ac:dyDescent="0.4">
      <c r="A13" s="1">
        <v>12</v>
      </c>
      <c r="D13" s="2" t="s">
        <v>15</v>
      </c>
      <c r="E13" s="1" t="s">
        <v>16</v>
      </c>
      <c r="H13" s="2" t="s">
        <v>52</v>
      </c>
      <c r="I13" s="1" t="s">
        <v>53</v>
      </c>
      <c r="J13" s="2" t="s">
        <v>19</v>
      </c>
      <c r="K13" s="1" t="s">
        <v>20</v>
      </c>
      <c r="M13" s="6">
        <f>3+18/60</f>
        <v>3.3</v>
      </c>
      <c r="N13" s="7">
        <v>960</v>
      </c>
      <c r="O13" s="7">
        <f t="shared" si="1"/>
        <v>290.90909090909093</v>
      </c>
    </row>
    <row r="14" spans="1:15" x14ac:dyDescent="0.4">
      <c r="A14" s="1">
        <v>13</v>
      </c>
      <c r="D14" s="2" t="s">
        <v>15</v>
      </c>
      <c r="E14" s="1" t="s">
        <v>16</v>
      </c>
      <c r="H14" s="2" t="s">
        <v>54</v>
      </c>
      <c r="I14" s="1" t="s">
        <v>55</v>
      </c>
      <c r="J14" s="2" t="s">
        <v>19</v>
      </c>
      <c r="K14" s="1" t="s">
        <v>20</v>
      </c>
      <c r="M14" s="6">
        <f>4+5/60</f>
        <v>4.083333333333333</v>
      </c>
      <c r="N14" s="7">
        <f>1148</f>
        <v>1148</v>
      </c>
      <c r="O14" s="7">
        <f t="shared" si="1"/>
        <v>281.14285714285717</v>
      </c>
    </row>
    <row r="15" spans="1:15" x14ac:dyDescent="0.4">
      <c r="A15" s="1">
        <v>14</v>
      </c>
      <c r="D15" s="2" t="s">
        <v>15</v>
      </c>
      <c r="E15" s="1" t="s">
        <v>16</v>
      </c>
      <c r="F15" s="2" t="s">
        <v>56</v>
      </c>
      <c r="G15" s="1" t="s">
        <v>57</v>
      </c>
      <c r="H15" s="2" t="s">
        <v>58</v>
      </c>
      <c r="I15" s="1" t="s">
        <v>59</v>
      </c>
      <c r="J15" s="2" t="s">
        <v>19</v>
      </c>
      <c r="K15" s="1" t="s">
        <v>20</v>
      </c>
      <c r="M15" s="6">
        <f>9+34/60</f>
        <v>9.5666666666666664</v>
      </c>
      <c r="N15" s="7">
        <v>2690</v>
      </c>
      <c r="O15" s="7">
        <f t="shared" si="1"/>
        <v>281.18466898954705</v>
      </c>
    </row>
    <row r="16" spans="1:15" x14ac:dyDescent="0.4">
      <c r="A16" s="1">
        <v>15</v>
      </c>
      <c r="D16" s="2" t="s">
        <v>15</v>
      </c>
      <c r="E16" s="1" t="s">
        <v>16</v>
      </c>
      <c r="F16" s="2" t="s">
        <v>56</v>
      </c>
      <c r="G16" s="1" t="s">
        <v>57</v>
      </c>
      <c r="H16" s="2" t="s">
        <v>60</v>
      </c>
      <c r="I16" s="1" t="s">
        <v>61</v>
      </c>
      <c r="J16" s="2" t="s">
        <v>19</v>
      </c>
      <c r="K16" s="1" t="s">
        <v>20</v>
      </c>
      <c r="M16" s="6">
        <f>3+45/60</f>
        <v>3.75</v>
      </c>
      <c r="N16" s="7">
        <v>1035</v>
      </c>
      <c r="O16" s="7">
        <f t="shared" si="1"/>
        <v>276</v>
      </c>
    </row>
    <row r="17" spans="1:15" x14ac:dyDescent="0.4">
      <c r="A17" s="1">
        <v>16</v>
      </c>
      <c r="D17" s="2" t="s">
        <v>15</v>
      </c>
      <c r="E17" s="1" t="s">
        <v>16</v>
      </c>
      <c r="F17" s="2" t="s">
        <v>56</v>
      </c>
      <c r="G17" s="1" t="s">
        <v>57</v>
      </c>
      <c r="H17" s="2" t="s">
        <v>62</v>
      </c>
      <c r="I17" s="1" t="s">
        <v>63</v>
      </c>
      <c r="J17" s="2" t="s">
        <v>19</v>
      </c>
      <c r="K17" s="1" t="s">
        <v>20</v>
      </c>
      <c r="M17" s="6">
        <f>6+35/60</f>
        <v>6.583333333333333</v>
      </c>
      <c r="N17" s="7">
        <f>1806</f>
        <v>1806</v>
      </c>
      <c r="O17" s="7">
        <f t="shared" si="1"/>
        <v>274.32911392405066</v>
      </c>
    </row>
    <row r="18" spans="1:15" x14ac:dyDescent="0.4">
      <c r="A18" s="1">
        <v>17</v>
      </c>
      <c r="D18" s="2" t="s">
        <v>15</v>
      </c>
      <c r="E18" s="1" t="s">
        <v>16</v>
      </c>
      <c r="H18" s="2" t="s">
        <v>64</v>
      </c>
      <c r="I18" s="1" t="s">
        <v>65</v>
      </c>
      <c r="J18" s="2" t="s">
        <v>19</v>
      </c>
      <c r="K18" s="1" t="s">
        <v>20</v>
      </c>
      <c r="M18" s="6">
        <f>5</f>
        <v>5</v>
      </c>
      <c r="N18" s="7">
        <f>1438</f>
        <v>1438</v>
      </c>
      <c r="O18" s="7">
        <f t="shared" si="1"/>
        <v>287.60000000000002</v>
      </c>
    </row>
    <row r="19" spans="1:15" x14ac:dyDescent="0.4">
      <c r="A19" s="1">
        <v>18</v>
      </c>
      <c r="D19" s="2" t="s">
        <v>66</v>
      </c>
      <c r="E19" s="1" t="s">
        <v>67</v>
      </c>
      <c r="H19" s="2" t="s">
        <v>68</v>
      </c>
      <c r="I19" s="1" t="s">
        <v>69</v>
      </c>
      <c r="J19" s="2" t="s">
        <v>19</v>
      </c>
      <c r="K19" s="1" t="s">
        <v>20</v>
      </c>
      <c r="M19" s="6">
        <f>5+54/60</f>
        <v>5.9</v>
      </c>
      <c r="N19" s="7">
        <f>1725</f>
        <v>1725</v>
      </c>
      <c r="O19" s="7">
        <f t="shared" si="1"/>
        <v>292.37288135593218</v>
      </c>
    </row>
    <row r="20" spans="1:15" x14ac:dyDescent="0.4">
      <c r="A20" s="1">
        <v>19</v>
      </c>
      <c r="D20" s="2" t="s">
        <v>15</v>
      </c>
      <c r="E20" s="1" t="s">
        <v>16</v>
      </c>
      <c r="H20" s="2" t="s">
        <v>70</v>
      </c>
      <c r="I20" s="1" t="s">
        <v>71</v>
      </c>
      <c r="J20" s="2" t="s">
        <v>19</v>
      </c>
      <c r="K20" s="1" t="s">
        <v>20</v>
      </c>
      <c r="M20" s="6">
        <f>5+23/60</f>
        <v>5.3833333333333337</v>
      </c>
      <c r="N20" s="7">
        <f>1526</f>
        <v>1526</v>
      </c>
      <c r="O20" s="7">
        <f t="shared" si="1"/>
        <v>283.46749226006187</v>
      </c>
    </row>
    <row r="21" spans="1:15" x14ac:dyDescent="0.4">
      <c r="A21" s="1">
        <v>20</v>
      </c>
      <c r="D21" s="2" t="s">
        <v>66</v>
      </c>
      <c r="E21" s="1" t="s">
        <v>67</v>
      </c>
      <c r="H21" s="2" t="s">
        <v>72</v>
      </c>
      <c r="I21" s="1" t="s">
        <v>73</v>
      </c>
      <c r="J21" s="2" t="s">
        <v>19</v>
      </c>
      <c r="K21" s="1" t="s">
        <v>20</v>
      </c>
      <c r="M21" s="6">
        <f>4+38/60</f>
        <v>4.6333333333333329</v>
      </c>
      <c r="N21" s="7">
        <f>1309</f>
        <v>1309</v>
      </c>
      <c r="O21" s="7">
        <f t="shared" si="1"/>
        <v>282.51798561151082</v>
      </c>
    </row>
    <row r="22" spans="1:15" x14ac:dyDescent="0.4">
      <c r="A22" s="1">
        <v>21</v>
      </c>
      <c r="D22" s="2" t="s">
        <v>40</v>
      </c>
      <c r="E22" s="1" t="s">
        <v>41</v>
      </c>
      <c r="H22" s="2" t="s">
        <v>74</v>
      </c>
      <c r="I22" s="1" t="s">
        <v>75</v>
      </c>
      <c r="J22" s="2" t="s">
        <v>19</v>
      </c>
      <c r="K22" s="1" t="s">
        <v>20</v>
      </c>
      <c r="M22" s="6">
        <f>23+31/60</f>
        <v>23.516666666666666</v>
      </c>
      <c r="N22" s="7">
        <f>6751</f>
        <v>6751</v>
      </c>
      <c r="O22" s="7">
        <f t="shared" si="1"/>
        <v>287.07299787384835</v>
      </c>
    </row>
    <row r="23" spans="1:15" x14ac:dyDescent="0.4">
      <c r="A23" s="1">
        <v>22</v>
      </c>
      <c r="D23" s="2" t="s">
        <v>40</v>
      </c>
      <c r="E23" s="1" t="s">
        <v>41</v>
      </c>
      <c r="H23" s="2" t="s">
        <v>76</v>
      </c>
      <c r="I23" s="1" t="s">
        <v>77</v>
      </c>
      <c r="J23" s="2" t="s">
        <v>19</v>
      </c>
      <c r="K23" s="1" t="s">
        <v>20</v>
      </c>
      <c r="M23" s="6">
        <f>6+43/60</f>
        <v>6.7166666666666668</v>
      </c>
      <c r="N23" s="7">
        <f>1768</f>
        <v>1768</v>
      </c>
      <c r="O23" s="7">
        <f t="shared" si="1"/>
        <v>263.22580645161293</v>
      </c>
    </row>
    <row r="24" spans="1:15" x14ac:dyDescent="0.4">
      <c r="A24" s="1">
        <v>23</v>
      </c>
      <c r="D24" s="2" t="s">
        <v>40</v>
      </c>
      <c r="E24" s="1" t="s">
        <v>41</v>
      </c>
      <c r="H24" s="2" t="s">
        <v>78</v>
      </c>
      <c r="I24" s="1" t="s">
        <v>79</v>
      </c>
      <c r="J24" s="2" t="s">
        <v>19</v>
      </c>
      <c r="K24" s="1" t="s">
        <v>20</v>
      </c>
      <c r="M24" s="6">
        <f>7+21/60</f>
        <v>7.35</v>
      </c>
      <c r="N24" s="7">
        <f>2087</f>
        <v>2087</v>
      </c>
      <c r="O24" s="7">
        <f t="shared" si="1"/>
        <v>283.94557823129253</v>
      </c>
    </row>
    <row r="25" spans="1:15" x14ac:dyDescent="0.4">
      <c r="A25" s="1">
        <v>24</v>
      </c>
      <c r="D25" s="2" t="s">
        <v>40</v>
      </c>
      <c r="E25" s="1" t="s">
        <v>41</v>
      </c>
      <c r="F25" s="2" t="s">
        <v>80</v>
      </c>
      <c r="G25" s="1" t="s">
        <v>81</v>
      </c>
      <c r="H25" s="2" t="s">
        <v>82</v>
      </c>
      <c r="I25" s="1" t="s">
        <v>83</v>
      </c>
      <c r="J25" s="2" t="s">
        <v>19</v>
      </c>
      <c r="K25" s="1" t="s">
        <v>20</v>
      </c>
      <c r="M25" s="6">
        <f>3+13/60</f>
        <v>3.2166666666666668</v>
      </c>
      <c r="N25" s="7">
        <f>916</f>
        <v>916</v>
      </c>
      <c r="O25" s="7">
        <f t="shared" si="1"/>
        <v>284.76683937823833</v>
      </c>
    </row>
    <row r="26" spans="1:15" x14ac:dyDescent="0.4">
      <c r="A26" s="1">
        <v>25</v>
      </c>
      <c r="D26" s="2" t="s">
        <v>40</v>
      </c>
      <c r="E26" s="1" t="s">
        <v>41</v>
      </c>
      <c r="H26" s="2" t="s">
        <v>84</v>
      </c>
      <c r="I26" s="1" t="s">
        <v>85</v>
      </c>
      <c r="J26" s="2" t="s">
        <v>19</v>
      </c>
      <c r="K26" s="1" t="s">
        <v>20</v>
      </c>
      <c r="M26" s="6">
        <f>4+39/60</f>
        <v>4.6500000000000004</v>
      </c>
      <c r="N26" s="7">
        <f>1309</f>
        <v>1309</v>
      </c>
      <c r="O26" s="7">
        <f t="shared" si="1"/>
        <v>281.50537634408602</v>
      </c>
    </row>
    <row r="27" spans="1:15" x14ac:dyDescent="0.4">
      <c r="A27" s="1">
        <v>26</v>
      </c>
      <c r="D27" s="2"/>
      <c r="F27" s="2" t="s">
        <v>86</v>
      </c>
      <c r="G27" s="1" t="s">
        <v>87</v>
      </c>
      <c r="H27" s="2" t="s">
        <v>88</v>
      </c>
      <c r="I27" s="1" t="s">
        <v>89</v>
      </c>
      <c r="J27" s="2" t="s">
        <v>19</v>
      </c>
      <c r="K27" s="1" t="s">
        <v>20</v>
      </c>
      <c r="M27" s="6">
        <f>24+7/60</f>
        <v>24.116666666666667</v>
      </c>
      <c r="N27" s="7">
        <f>6702</f>
        <v>6702</v>
      </c>
      <c r="O27" s="7">
        <f t="shared" si="1"/>
        <v>277.8991015894955</v>
      </c>
    </row>
    <row r="28" spans="1:15" x14ac:dyDescent="0.4">
      <c r="A28" s="1">
        <v>27</v>
      </c>
      <c r="D28" s="2" t="s">
        <v>21</v>
      </c>
      <c r="E28" s="1" t="s">
        <v>22</v>
      </c>
      <c r="F28" s="2" t="s">
        <v>86</v>
      </c>
      <c r="G28" s="1" t="s">
        <v>87</v>
      </c>
      <c r="H28" s="2" t="s">
        <v>90</v>
      </c>
      <c r="I28" s="1" t="s">
        <v>91</v>
      </c>
      <c r="J28" s="2" t="s">
        <v>19</v>
      </c>
      <c r="K28" s="1" t="s">
        <v>20</v>
      </c>
      <c r="M28" s="6">
        <f>13+12/60</f>
        <v>13.2</v>
      </c>
      <c r="N28" s="7">
        <f>3618</f>
        <v>3618</v>
      </c>
      <c r="O28" s="7">
        <f t="shared" si="1"/>
        <v>274.09090909090912</v>
      </c>
    </row>
    <row r="29" spans="1:15" ht="21" x14ac:dyDescent="0.4">
      <c r="A29" s="1">
        <v>28</v>
      </c>
      <c r="B29" s="2" t="s">
        <v>92</v>
      </c>
      <c r="C29" s="1" t="s">
        <v>31</v>
      </c>
      <c r="D29" s="2"/>
      <c r="H29" s="8" t="s">
        <v>93</v>
      </c>
      <c r="I29" s="9" t="s">
        <v>94</v>
      </c>
      <c r="J29" s="2" t="s">
        <v>19</v>
      </c>
      <c r="K29" s="1" t="s">
        <v>20</v>
      </c>
      <c r="M29" s="6">
        <f>6+18/60</f>
        <v>6.3</v>
      </c>
      <c r="N29" s="7">
        <f>1792</f>
        <v>1792</v>
      </c>
      <c r="O29" s="7">
        <f t="shared" si="1"/>
        <v>284.44444444444446</v>
      </c>
    </row>
    <row r="30" spans="1:15" x14ac:dyDescent="0.4">
      <c r="A30" s="1">
        <v>29</v>
      </c>
      <c r="B30" s="2" t="s">
        <v>25</v>
      </c>
      <c r="C30" s="1" t="s">
        <v>26</v>
      </c>
      <c r="D30" s="2"/>
      <c r="F30" s="2" t="s">
        <v>95</v>
      </c>
      <c r="G30" s="1" t="s">
        <v>96</v>
      </c>
      <c r="H30" s="2" t="s">
        <v>97</v>
      </c>
      <c r="I30" s="1" t="s">
        <v>98</v>
      </c>
      <c r="J30" s="2" t="s">
        <v>19</v>
      </c>
      <c r="K30" s="1" t="s">
        <v>20</v>
      </c>
      <c r="M30" s="6">
        <f>12+36/60</f>
        <v>12.6</v>
      </c>
      <c r="N30" s="7">
        <f>3406</f>
        <v>3406</v>
      </c>
      <c r="O30" s="7">
        <f t="shared" si="1"/>
        <v>270.3174603174603</v>
      </c>
    </row>
    <row r="31" spans="1:15" x14ac:dyDescent="0.4">
      <c r="A31" s="1">
        <v>30</v>
      </c>
      <c r="B31" s="2" t="s">
        <v>25</v>
      </c>
      <c r="C31" s="1" t="s">
        <v>26</v>
      </c>
      <c r="D31" s="2"/>
      <c r="F31" s="2" t="s">
        <v>99</v>
      </c>
      <c r="G31" s="1" t="s">
        <v>100</v>
      </c>
      <c r="H31" s="2" t="s">
        <v>101</v>
      </c>
      <c r="I31" s="1" t="s">
        <v>102</v>
      </c>
      <c r="J31" s="2" t="s">
        <v>19</v>
      </c>
      <c r="K31" s="1" t="s">
        <v>20</v>
      </c>
      <c r="M31" s="6">
        <f>9+56/60</f>
        <v>9.9333333333333336</v>
      </c>
      <c r="N31" s="7">
        <f>2748</f>
        <v>2748</v>
      </c>
      <c r="O31" s="7">
        <f t="shared" si="1"/>
        <v>276.6442953020134</v>
      </c>
    </row>
    <row r="32" spans="1:15" x14ac:dyDescent="0.4">
      <c r="A32" s="1">
        <v>31</v>
      </c>
      <c r="B32" s="2" t="s">
        <v>25</v>
      </c>
      <c r="D32" s="2" t="s">
        <v>21</v>
      </c>
      <c r="E32" s="1" t="s">
        <v>22</v>
      </c>
      <c r="H32" s="2" t="s">
        <v>103</v>
      </c>
      <c r="I32" s="1" t="s">
        <v>104</v>
      </c>
      <c r="J32" s="2" t="s">
        <v>19</v>
      </c>
      <c r="K32" s="1" t="s">
        <v>20</v>
      </c>
      <c r="M32" s="6">
        <f>8+2/60</f>
        <v>8.0333333333333332</v>
      </c>
      <c r="N32" s="7">
        <f>2283</f>
        <v>2283</v>
      </c>
      <c r="O32" s="7">
        <f t="shared" si="1"/>
        <v>284.1908713692946</v>
      </c>
    </row>
    <row r="33" spans="1:15" x14ac:dyDescent="0.4">
      <c r="A33" s="1">
        <v>32</v>
      </c>
      <c r="B33" s="2" t="s">
        <v>25</v>
      </c>
      <c r="C33" s="1" t="s">
        <v>26</v>
      </c>
      <c r="D33" s="2"/>
      <c r="F33" s="2" t="s">
        <v>99</v>
      </c>
      <c r="G33" s="1" t="s">
        <v>100</v>
      </c>
      <c r="H33" s="2" t="s">
        <v>105</v>
      </c>
      <c r="I33" s="1" t="s">
        <v>106</v>
      </c>
      <c r="J33" s="2" t="s">
        <v>19</v>
      </c>
      <c r="K33" s="1" t="s">
        <v>20</v>
      </c>
      <c r="M33" s="6">
        <f>7+18/60</f>
        <v>7.3</v>
      </c>
      <c r="N33" s="7">
        <f>2076</f>
        <v>2076</v>
      </c>
      <c r="O33" s="7">
        <f t="shared" si="1"/>
        <v>284.38356164383561</v>
      </c>
    </row>
    <row r="34" spans="1:15" x14ac:dyDescent="0.4">
      <c r="A34" s="1">
        <v>33</v>
      </c>
      <c r="B34" s="2" t="s">
        <v>25</v>
      </c>
      <c r="C34" s="1" t="s">
        <v>26</v>
      </c>
      <c r="D34" s="2"/>
      <c r="F34" s="2" t="s">
        <v>27</v>
      </c>
      <c r="G34" s="1" t="s">
        <v>107</v>
      </c>
      <c r="H34" s="2" t="s">
        <v>108</v>
      </c>
      <c r="I34" s="1" t="s">
        <v>109</v>
      </c>
      <c r="J34" s="2" t="s">
        <v>19</v>
      </c>
      <c r="K34" s="1" t="s">
        <v>20</v>
      </c>
      <c r="M34" s="6">
        <f>7+27/60</f>
        <v>7.45</v>
      </c>
      <c r="N34" s="7">
        <f>2183</f>
        <v>2183</v>
      </c>
      <c r="O34" s="7">
        <f t="shared" si="1"/>
        <v>293.02013422818789</v>
      </c>
    </row>
    <row r="35" spans="1:15" x14ac:dyDescent="0.4">
      <c r="A35" s="1">
        <v>34</v>
      </c>
      <c r="B35" s="2" t="s">
        <v>110</v>
      </c>
      <c r="C35" s="1" t="s">
        <v>111</v>
      </c>
      <c r="D35" s="2"/>
      <c r="F35" s="2" t="s">
        <v>112</v>
      </c>
      <c r="G35" s="1" t="s">
        <v>113</v>
      </c>
      <c r="H35" s="2" t="s">
        <v>114</v>
      </c>
      <c r="I35" s="1" t="s">
        <v>115</v>
      </c>
      <c r="J35" s="2" t="s">
        <v>19</v>
      </c>
      <c r="K35" s="1" t="s">
        <v>20</v>
      </c>
      <c r="M35" s="6">
        <f>22+7/60</f>
        <v>22.116666666666667</v>
      </c>
      <c r="N35" s="7">
        <f>6105</f>
        <v>6105</v>
      </c>
      <c r="O35" s="7">
        <f t="shared" si="1"/>
        <v>276.03617181612657</v>
      </c>
    </row>
    <row r="36" spans="1:15" x14ac:dyDescent="0.4">
      <c r="A36" s="1">
        <v>35</v>
      </c>
      <c r="B36" s="2" t="s">
        <v>92</v>
      </c>
      <c r="C36" s="1" t="s">
        <v>31</v>
      </c>
      <c r="D36" s="2"/>
      <c r="F36" s="2" t="s">
        <v>99</v>
      </c>
      <c r="G36" s="1" t="s">
        <v>100</v>
      </c>
      <c r="H36" s="2" t="s">
        <v>116</v>
      </c>
      <c r="I36" s="1" t="s">
        <v>117</v>
      </c>
      <c r="J36" s="2" t="s">
        <v>19</v>
      </c>
      <c r="K36" s="1" t="s">
        <v>20</v>
      </c>
      <c r="M36" s="6">
        <f>13+44/60</f>
        <v>13.733333333333333</v>
      </c>
      <c r="N36" s="7">
        <f>3843</f>
        <v>3843</v>
      </c>
      <c r="O36" s="7">
        <f t="shared" si="1"/>
        <v>279.83009708737865</v>
      </c>
    </row>
    <row r="37" spans="1:15" x14ac:dyDescent="0.4">
      <c r="A37" s="1">
        <v>36</v>
      </c>
      <c r="B37" s="2" t="s">
        <v>25</v>
      </c>
      <c r="C37" s="1" t="s">
        <v>26</v>
      </c>
      <c r="D37" s="2"/>
      <c r="F37" s="2" t="s">
        <v>118</v>
      </c>
      <c r="G37" s="1" t="s">
        <v>119</v>
      </c>
      <c r="H37" s="2" t="s">
        <v>120</v>
      </c>
      <c r="I37" s="1" t="s">
        <v>121</v>
      </c>
      <c r="J37" s="2" t="s">
        <v>19</v>
      </c>
      <c r="K37" s="1" t="s">
        <v>20</v>
      </c>
      <c r="M37" s="6">
        <f>13+47/60</f>
        <v>13.783333333333333</v>
      </c>
      <c r="N37" s="7">
        <v>4011</v>
      </c>
      <c r="O37" s="7">
        <f t="shared" si="1"/>
        <v>291.00362756952842</v>
      </c>
    </row>
    <row r="38" spans="1:15" x14ac:dyDescent="0.4">
      <c r="A38" s="1">
        <v>37</v>
      </c>
      <c r="D38" s="2" t="s">
        <v>21</v>
      </c>
      <c r="E38" s="1" t="s">
        <v>122</v>
      </c>
      <c r="F38" s="2" t="s">
        <v>123</v>
      </c>
      <c r="G38" s="1" t="s">
        <v>124</v>
      </c>
      <c r="H38" s="2" t="s">
        <v>125</v>
      </c>
      <c r="I38" s="1" t="s">
        <v>126</v>
      </c>
      <c r="J38" s="2" t="s">
        <v>19</v>
      </c>
      <c r="K38" s="1" t="s">
        <v>20</v>
      </c>
      <c r="M38" s="6">
        <f>7+33/60</f>
        <v>7.55</v>
      </c>
      <c r="N38" s="7">
        <f>2040</f>
        <v>2040</v>
      </c>
      <c r="O38" s="7">
        <f t="shared" si="1"/>
        <v>270.19867549668874</v>
      </c>
    </row>
    <row r="39" spans="1:15" x14ac:dyDescent="0.4">
      <c r="A39" s="1">
        <v>38</v>
      </c>
      <c r="D39" s="2" t="s">
        <v>127</v>
      </c>
      <c r="E39" s="1" t="s">
        <v>128</v>
      </c>
      <c r="H39" s="2" t="s">
        <v>129</v>
      </c>
      <c r="I39" s="1" t="s">
        <v>130</v>
      </c>
      <c r="J39" s="2" t="s">
        <v>19</v>
      </c>
      <c r="K39" s="1" t="s">
        <v>20</v>
      </c>
      <c r="M39" s="6">
        <f>23+42/60</f>
        <v>23.7</v>
      </c>
      <c r="N39" s="7">
        <f>7195</f>
        <v>7195</v>
      </c>
      <c r="O39" s="7">
        <f t="shared" si="1"/>
        <v>303.58649789029539</v>
      </c>
    </row>
    <row r="40" spans="1:15" x14ac:dyDescent="0.4">
      <c r="A40" s="1">
        <v>39</v>
      </c>
      <c r="B40" s="2" t="s">
        <v>110</v>
      </c>
      <c r="C40" s="1" t="s">
        <v>111</v>
      </c>
      <c r="D40" s="2"/>
      <c r="F40" s="2" t="s">
        <v>112</v>
      </c>
      <c r="G40" s="1" t="s">
        <v>113</v>
      </c>
      <c r="H40" s="2" t="s">
        <v>131</v>
      </c>
      <c r="I40" s="1" t="s">
        <v>132</v>
      </c>
      <c r="J40" s="2" t="s">
        <v>19</v>
      </c>
      <c r="K40" s="1" t="s">
        <v>20</v>
      </c>
      <c r="M40" s="6">
        <f>5+30/60</f>
        <v>5.5</v>
      </c>
      <c r="N40" s="7">
        <f>1637</f>
        <v>1637</v>
      </c>
      <c r="O40" s="7">
        <f t="shared" si="1"/>
        <v>297.63636363636363</v>
      </c>
    </row>
    <row r="41" spans="1:15" x14ac:dyDescent="0.4">
      <c r="A41" s="1">
        <v>40</v>
      </c>
      <c r="B41" s="2" t="s">
        <v>110</v>
      </c>
      <c r="C41" s="1" t="s">
        <v>133</v>
      </c>
      <c r="D41" s="2"/>
      <c r="F41" s="2" t="s">
        <v>112</v>
      </c>
      <c r="G41" s="1" t="s">
        <v>113</v>
      </c>
      <c r="H41" s="2" t="s">
        <v>134</v>
      </c>
      <c r="I41" s="1" t="s">
        <v>135</v>
      </c>
      <c r="J41" s="2" t="s">
        <v>19</v>
      </c>
      <c r="K41" s="1" t="s">
        <v>20</v>
      </c>
      <c r="M41" s="6">
        <f>7+40/60</f>
        <v>7.666666666666667</v>
      </c>
      <c r="N41" s="7">
        <f>2182</f>
        <v>2182</v>
      </c>
      <c r="O41" s="7">
        <f t="shared" si="1"/>
        <v>284.60869565217388</v>
      </c>
    </row>
    <row r="42" spans="1:15" x14ac:dyDescent="0.4">
      <c r="A42" s="1">
        <v>41</v>
      </c>
      <c r="B42" s="2" t="s">
        <v>92</v>
      </c>
      <c r="C42" s="1" t="s">
        <v>31</v>
      </c>
      <c r="D42" s="2"/>
      <c r="F42" s="2" t="s">
        <v>99</v>
      </c>
      <c r="G42" s="1" t="s">
        <v>100</v>
      </c>
      <c r="H42" s="2" t="s">
        <v>136</v>
      </c>
      <c r="I42" s="1" t="s">
        <v>137</v>
      </c>
      <c r="J42" s="2" t="s">
        <v>19</v>
      </c>
      <c r="K42" s="1" t="s">
        <v>20</v>
      </c>
      <c r="M42" s="6">
        <f>11+26/60</f>
        <v>11.433333333333334</v>
      </c>
      <c r="N42" s="7">
        <f>3186</f>
        <v>3186</v>
      </c>
      <c r="O42" s="7">
        <f t="shared" si="1"/>
        <v>278.65889212827989</v>
      </c>
    </row>
    <row r="43" spans="1:15" x14ac:dyDescent="0.4">
      <c r="A43" s="1">
        <v>42</v>
      </c>
      <c r="B43" s="2" t="s">
        <v>25</v>
      </c>
      <c r="C43" s="1" t="s">
        <v>26</v>
      </c>
      <c r="D43" s="2"/>
      <c r="F43" s="2" t="s">
        <v>99</v>
      </c>
      <c r="G43" s="1" t="s">
        <v>100</v>
      </c>
      <c r="H43" s="2" t="s">
        <v>138</v>
      </c>
      <c r="I43" s="1" t="s">
        <v>139</v>
      </c>
      <c r="J43" s="2" t="s">
        <v>19</v>
      </c>
      <c r="K43" s="1" t="s">
        <v>20</v>
      </c>
      <c r="M43" s="6">
        <f>8+14/60</f>
        <v>8.2333333333333325</v>
      </c>
      <c r="N43" s="7">
        <f>2399</f>
        <v>2399</v>
      </c>
      <c r="O43" s="7">
        <f t="shared" si="1"/>
        <v>291.37651821862352</v>
      </c>
    </row>
    <row r="44" spans="1:15" x14ac:dyDescent="0.4">
      <c r="A44" s="1">
        <v>43</v>
      </c>
      <c r="D44" s="2" t="s">
        <v>140</v>
      </c>
      <c r="E44" s="1" t="s">
        <v>141</v>
      </c>
      <c r="H44" s="2" t="s">
        <v>142</v>
      </c>
      <c r="I44" s="1" t="s">
        <v>143</v>
      </c>
      <c r="J44" s="2" t="s">
        <v>19</v>
      </c>
      <c r="K44" s="1" t="s">
        <v>20</v>
      </c>
      <c r="M44" s="6">
        <f>1+42/60</f>
        <v>1.7</v>
      </c>
      <c r="N44" s="7">
        <f>454</f>
        <v>454</v>
      </c>
      <c r="O44" s="7">
        <f t="shared" si="1"/>
        <v>267.05882352941177</v>
      </c>
    </row>
    <row r="45" spans="1:15" x14ac:dyDescent="0.4">
      <c r="A45" s="1">
        <v>44</v>
      </c>
      <c r="D45" s="2" t="s">
        <v>144</v>
      </c>
      <c r="E45" s="1" t="s">
        <v>122</v>
      </c>
      <c r="F45" s="2" t="s">
        <v>145</v>
      </c>
      <c r="G45" s="1" t="s">
        <v>146</v>
      </c>
      <c r="H45" s="2" t="s">
        <v>147</v>
      </c>
      <c r="I45" s="1" t="s">
        <v>148</v>
      </c>
      <c r="J45" s="2" t="s">
        <v>19</v>
      </c>
      <c r="K45" s="1" t="s">
        <v>20</v>
      </c>
      <c r="M45" s="6">
        <f>5+11/60</f>
        <v>5.1833333333333336</v>
      </c>
      <c r="N45" s="7">
        <f>1483</f>
        <v>1483</v>
      </c>
      <c r="O45" s="7">
        <f t="shared" si="1"/>
        <v>286.10932475884243</v>
      </c>
    </row>
    <row r="46" spans="1:15" x14ac:dyDescent="0.4">
      <c r="A46" s="1">
        <v>45</v>
      </c>
      <c r="B46" s="2" t="s">
        <v>149</v>
      </c>
      <c r="C46" s="1" t="s">
        <v>150</v>
      </c>
      <c r="D46" s="2"/>
      <c r="H46" s="2" t="s">
        <v>151</v>
      </c>
      <c r="I46" s="1" t="s">
        <v>152</v>
      </c>
      <c r="J46" s="2" t="s">
        <v>19</v>
      </c>
      <c r="K46" s="1" t="s">
        <v>20</v>
      </c>
      <c r="M46" s="6">
        <f>13+33/60</f>
        <v>13.55</v>
      </c>
      <c r="N46" s="7">
        <f>3817</f>
        <v>3817</v>
      </c>
      <c r="O46" s="7">
        <f t="shared" si="1"/>
        <v>281.69741697416976</v>
      </c>
    </row>
    <row r="47" spans="1:15" x14ac:dyDescent="0.4">
      <c r="A47" s="1">
        <v>46</v>
      </c>
      <c r="D47" s="2" t="s">
        <v>144</v>
      </c>
      <c r="E47" s="1" t="s">
        <v>122</v>
      </c>
      <c r="F47" s="2" t="s">
        <v>153</v>
      </c>
      <c r="G47" s="1" t="s">
        <v>154</v>
      </c>
      <c r="H47" s="2" t="s">
        <v>155</v>
      </c>
      <c r="I47" s="1" t="s">
        <v>156</v>
      </c>
      <c r="J47" s="2" t="s">
        <v>19</v>
      </c>
      <c r="K47" s="1" t="s">
        <v>20</v>
      </c>
      <c r="M47" s="6">
        <f>13+40/60</f>
        <v>13.666666666666666</v>
      </c>
      <c r="N47" s="7">
        <v>3826</v>
      </c>
      <c r="O47" s="7">
        <f t="shared" si="1"/>
        <v>279.95121951219511</v>
      </c>
    </row>
    <row r="48" spans="1:15" x14ac:dyDescent="0.4">
      <c r="A48" s="1">
        <v>47</v>
      </c>
      <c r="D48" s="2" t="s">
        <v>21</v>
      </c>
      <c r="E48" s="1" t="s">
        <v>22</v>
      </c>
      <c r="F48" s="2" t="s">
        <v>157</v>
      </c>
      <c r="G48" s="1" t="s">
        <v>158</v>
      </c>
      <c r="H48" s="2" t="s">
        <v>159</v>
      </c>
      <c r="I48" s="1" t="s">
        <v>160</v>
      </c>
      <c r="J48" s="2" t="s">
        <v>19</v>
      </c>
      <c r="K48" s="1" t="s">
        <v>20</v>
      </c>
      <c r="M48" s="6">
        <f>14+7/60</f>
        <v>14.116666666666667</v>
      </c>
      <c r="N48" s="7">
        <f>3982</f>
        <v>3982</v>
      </c>
      <c r="O48" s="7">
        <f t="shared" si="1"/>
        <v>282.0779220779221</v>
      </c>
    </row>
    <row r="49" spans="1:15" x14ac:dyDescent="0.4">
      <c r="A49" s="1">
        <v>48</v>
      </c>
      <c r="D49" s="2" t="s">
        <v>21</v>
      </c>
      <c r="E49" s="1" t="s">
        <v>22</v>
      </c>
      <c r="F49" s="2" t="s">
        <v>161</v>
      </c>
      <c r="G49" s="1" t="s">
        <v>162</v>
      </c>
      <c r="H49" s="2" t="s">
        <v>163</v>
      </c>
      <c r="I49" s="1" t="s">
        <v>164</v>
      </c>
      <c r="J49" s="2" t="s">
        <v>19</v>
      </c>
      <c r="K49" s="1" t="s">
        <v>20</v>
      </c>
      <c r="M49" s="6">
        <f>13+21/60</f>
        <v>13.35</v>
      </c>
      <c r="N49" s="7">
        <v>3833</v>
      </c>
      <c r="O49" s="7">
        <f t="shared" si="1"/>
        <v>287.11610486891385</v>
      </c>
    </row>
    <row r="50" spans="1:15" x14ac:dyDescent="0.4">
      <c r="A50" s="1">
        <v>49</v>
      </c>
      <c r="B50" s="2" t="s">
        <v>25</v>
      </c>
      <c r="C50" s="1" t="s">
        <v>26</v>
      </c>
      <c r="D50" s="2"/>
      <c r="F50" s="2" t="s">
        <v>165</v>
      </c>
      <c r="G50" s="1" t="s">
        <v>166</v>
      </c>
      <c r="H50" s="2" t="s">
        <v>167</v>
      </c>
      <c r="I50" s="1" t="s">
        <v>168</v>
      </c>
      <c r="J50" s="2" t="s">
        <v>19</v>
      </c>
      <c r="K50" s="1" t="s">
        <v>20</v>
      </c>
      <c r="M50" s="6">
        <f>9+19/60</f>
        <v>9.3166666666666664</v>
      </c>
      <c r="N50" s="7">
        <f>2635</f>
        <v>2635</v>
      </c>
      <c r="O50" s="7">
        <f t="shared" si="1"/>
        <v>282.82647584973165</v>
      </c>
    </row>
    <row r="51" spans="1:15" x14ac:dyDescent="0.4">
      <c r="A51" s="1">
        <v>50</v>
      </c>
      <c r="D51" s="2" t="s">
        <v>127</v>
      </c>
      <c r="E51" s="1" t="s">
        <v>128</v>
      </c>
      <c r="H51" s="2" t="s">
        <v>169</v>
      </c>
      <c r="I51" s="1" t="s">
        <v>170</v>
      </c>
      <c r="J51" s="2" t="s">
        <v>19</v>
      </c>
      <c r="K51" s="1" t="s">
        <v>20</v>
      </c>
      <c r="M51" s="6">
        <f>7+1/60</f>
        <v>7.0166666666666666</v>
      </c>
      <c r="N51" s="7">
        <v>2057</v>
      </c>
      <c r="O51" s="7">
        <f t="shared" si="1"/>
        <v>293.15914489311166</v>
      </c>
    </row>
    <row r="52" spans="1:15" x14ac:dyDescent="0.4">
      <c r="A52" s="1">
        <v>51</v>
      </c>
      <c r="D52" s="2" t="s">
        <v>171</v>
      </c>
      <c r="E52" s="1" t="s">
        <v>172</v>
      </c>
      <c r="H52" s="2" t="s">
        <v>173</v>
      </c>
      <c r="I52" s="1" t="s">
        <v>174</v>
      </c>
      <c r="J52" s="2" t="s">
        <v>19</v>
      </c>
      <c r="K52" s="1" t="s">
        <v>20</v>
      </c>
      <c r="M52" s="6">
        <f>17+15/60</f>
        <v>17.25</v>
      </c>
      <c r="N52" s="10">
        <f>4994</f>
        <v>4994</v>
      </c>
      <c r="O52" s="7">
        <f t="shared" si="1"/>
        <v>289.50724637681162</v>
      </c>
    </row>
    <row r="53" spans="1:15" x14ac:dyDescent="0.4">
      <c r="A53" s="1">
        <v>52</v>
      </c>
      <c r="B53" s="2" t="s">
        <v>92</v>
      </c>
      <c r="C53" s="1" t="s">
        <v>31</v>
      </c>
      <c r="D53" s="2"/>
      <c r="H53" s="2" t="s">
        <v>175</v>
      </c>
      <c r="I53" s="1" t="s">
        <v>176</v>
      </c>
      <c r="J53" s="2" t="s">
        <v>19</v>
      </c>
      <c r="K53" s="1" t="s">
        <v>20</v>
      </c>
      <c r="M53" s="1">
        <f>5+3/60</f>
        <v>5.05</v>
      </c>
      <c r="N53" s="1">
        <f>1346</f>
        <v>1346</v>
      </c>
      <c r="O53" s="7">
        <f t="shared" si="1"/>
        <v>266.53465346534654</v>
      </c>
    </row>
    <row r="54" spans="1:15" x14ac:dyDescent="0.4">
      <c r="A54" s="1">
        <v>53</v>
      </c>
      <c r="D54" s="2" t="s">
        <v>40</v>
      </c>
      <c r="E54" s="1" t="s">
        <v>41</v>
      </c>
      <c r="H54" s="2" t="s">
        <v>177</v>
      </c>
      <c r="I54" s="1" t="s">
        <v>178</v>
      </c>
      <c r="J54" s="2" t="s">
        <v>19</v>
      </c>
      <c r="K54" s="1" t="s">
        <v>20</v>
      </c>
      <c r="M54" s="6">
        <f>7+16/60</f>
        <v>7.2666666666666666</v>
      </c>
      <c r="N54" s="7">
        <f>2086</f>
        <v>2086</v>
      </c>
      <c r="O54" s="7">
        <f t="shared" si="1"/>
        <v>287.06422018348621</v>
      </c>
    </row>
    <row r="55" spans="1:15" x14ac:dyDescent="0.4">
      <c r="A55" s="1">
        <v>54</v>
      </c>
      <c r="B55" s="2" t="s">
        <v>92</v>
      </c>
      <c r="C55" s="1" t="s">
        <v>31</v>
      </c>
      <c r="D55" s="2"/>
      <c r="F55" s="2" t="s">
        <v>99</v>
      </c>
      <c r="G55" s="1" t="s">
        <v>100</v>
      </c>
      <c r="H55" s="2" t="s">
        <v>179</v>
      </c>
      <c r="I55" s="1" t="s">
        <v>180</v>
      </c>
      <c r="J55" s="2" t="s">
        <v>19</v>
      </c>
      <c r="K55" s="1" t="s">
        <v>20</v>
      </c>
      <c r="M55" s="6">
        <f>5+11/60</f>
        <v>5.1833333333333336</v>
      </c>
      <c r="N55" s="7">
        <f>1446</f>
        <v>1446</v>
      </c>
      <c r="O55" s="7">
        <f t="shared" si="1"/>
        <v>278.97106109324756</v>
      </c>
    </row>
    <row r="56" spans="1:15" x14ac:dyDescent="0.4">
      <c r="A56" s="1">
        <v>55</v>
      </c>
      <c r="B56" s="2" t="s">
        <v>92</v>
      </c>
      <c r="C56" s="1" t="s">
        <v>31</v>
      </c>
      <c r="D56" s="2"/>
      <c r="F56" s="2" t="s">
        <v>99</v>
      </c>
      <c r="G56" s="1" t="s">
        <v>100</v>
      </c>
      <c r="H56" s="2" t="s">
        <v>181</v>
      </c>
      <c r="I56" s="1" t="s">
        <v>182</v>
      </c>
      <c r="J56" s="2" t="s">
        <v>19</v>
      </c>
      <c r="K56" s="1" t="s">
        <v>20</v>
      </c>
      <c r="M56" s="6">
        <f>12+47/60</f>
        <v>12.783333333333333</v>
      </c>
      <c r="N56" s="7">
        <f>3674</f>
        <v>3674</v>
      </c>
      <c r="O56" s="7">
        <f t="shared" si="1"/>
        <v>287.40547588005217</v>
      </c>
    </row>
    <row r="57" spans="1:15" x14ac:dyDescent="0.4">
      <c r="A57" s="1">
        <v>56</v>
      </c>
      <c r="B57" s="2" t="s">
        <v>92</v>
      </c>
      <c r="C57" s="1" t="s">
        <v>31</v>
      </c>
      <c r="D57" s="2"/>
      <c r="F57" s="2" t="s">
        <v>86</v>
      </c>
      <c r="G57" s="1" t="s">
        <v>87</v>
      </c>
      <c r="H57" s="2" t="s">
        <v>183</v>
      </c>
      <c r="I57" s="1" t="s">
        <v>184</v>
      </c>
      <c r="J57" s="2" t="s">
        <v>19</v>
      </c>
      <c r="K57" s="1" t="s">
        <v>20</v>
      </c>
      <c r="M57" s="6">
        <f>14+40/60</f>
        <v>14.666666666666666</v>
      </c>
      <c r="N57" s="7">
        <f>4151</f>
        <v>4151</v>
      </c>
      <c r="O57" s="7">
        <f t="shared" si="1"/>
        <v>283.02272727272731</v>
      </c>
    </row>
    <row r="58" spans="1:15" x14ac:dyDescent="0.4">
      <c r="A58" s="1">
        <v>57</v>
      </c>
      <c r="D58" s="2" t="s">
        <v>15</v>
      </c>
      <c r="E58" s="1" t="s">
        <v>16</v>
      </c>
      <c r="F58" s="2" t="s">
        <v>185</v>
      </c>
      <c r="G58" s="1" t="s">
        <v>186</v>
      </c>
      <c r="H58" s="2" t="s">
        <v>187</v>
      </c>
      <c r="I58" s="1" t="s">
        <v>188</v>
      </c>
      <c r="J58" s="2" t="s">
        <v>19</v>
      </c>
      <c r="K58" s="1" t="s">
        <v>20</v>
      </c>
      <c r="M58" s="6">
        <f>10+37/60</f>
        <v>10.616666666666667</v>
      </c>
      <c r="N58" s="7">
        <f>3013</f>
        <v>3013</v>
      </c>
      <c r="O58" s="7">
        <f t="shared" si="1"/>
        <v>283.79905808477235</v>
      </c>
    </row>
    <row r="59" spans="1:15" x14ac:dyDescent="0.4">
      <c r="A59" s="1">
        <v>58</v>
      </c>
      <c r="D59" s="2" t="s">
        <v>40</v>
      </c>
      <c r="E59" s="1" t="s">
        <v>41</v>
      </c>
      <c r="H59" s="2" t="s">
        <v>189</v>
      </c>
      <c r="I59" s="1" t="s">
        <v>190</v>
      </c>
      <c r="J59" s="2" t="s">
        <v>19</v>
      </c>
      <c r="K59" s="1" t="s">
        <v>20</v>
      </c>
      <c r="M59" s="6">
        <f>9+56/60</f>
        <v>9.9333333333333336</v>
      </c>
      <c r="N59" s="7">
        <f>2748</f>
        <v>2748</v>
      </c>
      <c r="O59" s="7">
        <f t="shared" si="1"/>
        <v>276.6442953020134</v>
      </c>
    </row>
    <row r="60" spans="1:15" x14ac:dyDescent="0.4">
      <c r="A60" s="1">
        <v>59</v>
      </c>
      <c r="D60" s="2" t="s">
        <v>191</v>
      </c>
      <c r="E60" s="1" t="s">
        <v>128</v>
      </c>
      <c r="H60" s="2" t="s">
        <v>192</v>
      </c>
      <c r="I60" s="1" t="s">
        <v>193</v>
      </c>
      <c r="J60" s="2" t="s">
        <v>19</v>
      </c>
      <c r="K60" s="1" t="s">
        <v>20</v>
      </c>
      <c r="M60" s="6">
        <f>12+23/60</f>
        <v>12.383333333333333</v>
      </c>
      <c r="N60" s="7">
        <f>3612</f>
        <v>3612</v>
      </c>
      <c r="O60" s="7">
        <f t="shared" si="1"/>
        <v>291.68236877523555</v>
      </c>
    </row>
    <row r="61" spans="1:15" x14ac:dyDescent="0.4">
      <c r="A61" s="1">
        <v>60</v>
      </c>
      <c r="D61" s="2" t="s">
        <v>194</v>
      </c>
      <c r="E61" s="1" t="s">
        <v>195</v>
      </c>
      <c r="H61" s="2" t="s">
        <v>196</v>
      </c>
      <c r="I61" s="1" t="s">
        <v>197</v>
      </c>
      <c r="J61" s="2" t="s">
        <v>19</v>
      </c>
      <c r="K61" s="1" t="s">
        <v>20</v>
      </c>
      <c r="M61" s="6">
        <f>7+19/60</f>
        <v>7.3166666666666664</v>
      </c>
      <c r="N61" s="7">
        <f>2070</f>
        <v>2070</v>
      </c>
      <c r="O61" s="7">
        <f t="shared" si="1"/>
        <v>282.91571753986335</v>
      </c>
    </row>
    <row r="62" spans="1:15" x14ac:dyDescent="0.4">
      <c r="A62" s="1">
        <v>61</v>
      </c>
      <c r="D62" s="2" t="s">
        <v>21</v>
      </c>
      <c r="E62" s="1" t="s">
        <v>22</v>
      </c>
      <c r="G62" s="2"/>
      <c r="H62" s="2" t="s">
        <v>198</v>
      </c>
      <c r="I62" s="1" t="s">
        <v>199</v>
      </c>
      <c r="J62" s="2" t="s">
        <v>19</v>
      </c>
      <c r="K62" s="1" t="s">
        <v>20</v>
      </c>
      <c r="M62" s="6">
        <f>8+4/60</f>
        <v>8.0666666666666664</v>
      </c>
      <c r="N62" s="7">
        <f>2273</f>
        <v>2273</v>
      </c>
      <c r="O62" s="7">
        <f t="shared" si="1"/>
        <v>281.77685950413223</v>
      </c>
    </row>
    <row r="63" spans="1:15" x14ac:dyDescent="0.4">
      <c r="A63" s="1">
        <v>62</v>
      </c>
      <c r="B63" s="2" t="s">
        <v>92</v>
      </c>
      <c r="C63" s="1" t="s">
        <v>31</v>
      </c>
      <c r="D63" s="2"/>
      <c r="F63" s="2" t="s">
        <v>99</v>
      </c>
      <c r="G63" s="1" t="s">
        <v>100</v>
      </c>
      <c r="H63" s="2" t="s">
        <v>200</v>
      </c>
      <c r="I63" s="1" t="s">
        <v>201</v>
      </c>
      <c r="J63" s="2" t="s">
        <v>19</v>
      </c>
      <c r="K63" s="1" t="s">
        <v>20</v>
      </c>
      <c r="M63" s="6">
        <f>6+16/60</f>
        <v>6.2666666666666666</v>
      </c>
      <c r="N63" s="7">
        <f>1732</f>
        <v>1732</v>
      </c>
      <c r="O63" s="7">
        <f t="shared" si="1"/>
        <v>276.38297872340428</v>
      </c>
    </row>
    <row r="64" spans="1:15" x14ac:dyDescent="0.4">
      <c r="A64" s="1">
        <v>63</v>
      </c>
      <c r="B64" s="2" t="s">
        <v>92</v>
      </c>
      <c r="C64" s="1" t="s">
        <v>31</v>
      </c>
      <c r="D64" s="2"/>
      <c r="F64" s="2" t="s">
        <v>185</v>
      </c>
      <c r="G64" s="1" t="s">
        <v>186</v>
      </c>
      <c r="H64" s="2" t="s">
        <v>202</v>
      </c>
      <c r="I64" s="1" t="s">
        <v>203</v>
      </c>
      <c r="J64" s="2" t="s">
        <v>19</v>
      </c>
      <c r="K64" s="1" t="s">
        <v>20</v>
      </c>
      <c r="M64" s="6">
        <f>4+56/60</f>
        <v>4.9333333333333336</v>
      </c>
      <c r="N64" s="7">
        <v>1370</v>
      </c>
      <c r="O64" s="7">
        <f t="shared" si="1"/>
        <v>277.70270270270271</v>
      </c>
    </row>
    <row r="65" spans="1:15" x14ac:dyDescent="0.4">
      <c r="A65" s="1">
        <v>64</v>
      </c>
      <c r="D65" s="2" t="s">
        <v>15</v>
      </c>
      <c r="E65" s="1" t="s">
        <v>16</v>
      </c>
      <c r="H65" s="2" t="s">
        <v>204</v>
      </c>
      <c r="I65" s="1" t="s">
        <v>205</v>
      </c>
      <c r="J65" s="2" t="s">
        <v>19</v>
      </c>
      <c r="K65" s="1" t="s">
        <v>20</v>
      </c>
      <c r="M65" s="6">
        <f>7+46/60</f>
        <v>7.7666666666666666</v>
      </c>
      <c r="N65" s="7">
        <f>2252</f>
        <v>2252</v>
      </c>
      <c r="O65" s="7">
        <f t="shared" si="1"/>
        <v>289.9570815450644</v>
      </c>
    </row>
    <row r="66" spans="1:15" x14ac:dyDescent="0.4">
      <c r="A66" s="1">
        <v>65</v>
      </c>
      <c r="B66" s="2" t="s">
        <v>110</v>
      </c>
      <c r="C66" s="1" t="s">
        <v>111</v>
      </c>
      <c r="D66" s="2"/>
      <c r="F66" s="2" t="s">
        <v>112</v>
      </c>
      <c r="G66" s="1" t="s">
        <v>113</v>
      </c>
      <c r="H66" s="2" t="s">
        <v>206</v>
      </c>
      <c r="I66" s="1" t="s">
        <v>207</v>
      </c>
      <c r="J66" s="2" t="s">
        <v>19</v>
      </c>
      <c r="K66" s="1" t="s">
        <v>20</v>
      </c>
      <c r="M66" s="6">
        <f>13+11/60</f>
        <v>13.183333333333334</v>
      </c>
      <c r="N66" s="7">
        <f>3687</f>
        <v>3687</v>
      </c>
      <c r="O66" s="7">
        <f t="shared" ref="O66:O129" si="2">N66/M66</f>
        <v>279.67130214917825</v>
      </c>
    </row>
    <row r="67" spans="1:15" x14ac:dyDescent="0.4">
      <c r="A67" s="1">
        <v>66</v>
      </c>
      <c r="D67" s="2" t="s">
        <v>40</v>
      </c>
      <c r="E67" s="1" t="s">
        <v>41</v>
      </c>
      <c r="H67" s="2" t="s">
        <v>208</v>
      </c>
      <c r="I67" s="1" t="s">
        <v>209</v>
      </c>
      <c r="J67" s="2" t="s">
        <v>19</v>
      </c>
      <c r="K67" s="1" t="s">
        <v>20</v>
      </c>
      <c r="M67" s="6">
        <f>3+6/60</f>
        <v>3.1</v>
      </c>
      <c r="N67" s="7">
        <f>808</f>
        <v>808</v>
      </c>
      <c r="O67" s="7">
        <f t="shared" si="2"/>
        <v>260.64516129032256</v>
      </c>
    </row>
    <row r="68" spans="1:15" x14ac:dyDescent="0.4">
      <c r="A68" s="1">
        <v>67</v>
      </c>
      <c r="D68" s="2" t="s">
        <v>40</v>
      </c>
      <c r="E68" s="1" t="s">
        <v>41</v>
      </c>
      <c r="H68" s="2" t="s">
        <v>210</v>
      </c>
      <c r="I68" s="1" t="s">
        <v>211</v>
      </c>
      <c r="J68" s="2" t="s">
        <v>19</v>
      </c>
      <c r="K68" s="1" t="s">
        <v>20</v>
      </c>
      <c r="M68" s="6">
        <f>10+13/60</f>
        <v>10.216666666666667</v>
      </c>
      <c r="N68" s="7">
        <f>2810</f>
        <v>2810</v>
      </c>
      <c r="O68" s="7">
        <f t="shared" si="2"/>
        <v>275.04078303425774</v>
      </c>
    </row>
    <row r="69" spans="1:15" x14ac:dyDescent="0.4">
      <c r="A69" s="1">
        <v>68</v>
      </c>
      <c r="D69" s="2" t="s">
        <v>21</v>
      </c>
      <c r="E69" s="1" t="s">
        <v>22</v>
      </c>
      <c r="H69" s="2" t="s">
        <v>212</v>
      </c>
      <c r="I69" s="1" t="s">
        <v>213</v>
      </c>
      <c r="J69" s="2" t="s">
        <v>19</v>
      </c>
      <c r="K69" s="1" t="s">
        <v>20</v>
      </c>
      <c r="M69" s="6">
        <f>6+50/60</f>
        <v>6.833333333333333</v>
      </c>
      <c r="N69" s="7">
        <v>1788</v>
      </c>
      <c r="O69" s="7">
        <f t="shared" si="2"/>
        <v>261.65853658536588</v>
      </c>
    </row>
    <row r="70" spans="1:15" x14ac:dyDescent="0.4">
      <c r="A70" s="1">
        <v>69</v>
      </c>
      <c r="D70" s="2" t="s">
        <v>21</v>
      </c>
      <c r="E70" s="1" t="s">
        <v>22</v>
      </c>
      <c r="H70" s="2" t="s">
        <v>214</v>
      </c>
      <c r="I70" s="9" t="s">
        <v>215</v>
      </c>
      <c r="J70" s="2" t="s">
        <v>19</v>
      </c>
      <c r="K70" s="1" t="s">
        <v>20</v>
      </c>
      <c r="M70" s="6">
        <f>7+47/60</f>
        <v>7.7833333333333332</v>
      </c>
      <c r="N70" s="7">
        <v>2082</v>
      </c>
      <c r="O70" s="7">
        <f t="shared" si="2"/>
        <v>267.4946466809422</v>
      </c>
    </row>
    <row r="71" spans="1:15" x14ac:dyDescent="0.4">
      <c r="A71" s="1">
        <v>70</v>
      </c>
      <c r="D71" s="2" t="s">
        <v>40</v>
      </c>
      <c r="E71" s="1" t="s">
        <v>41</v>
      </c>
      <c r="H71" s="2" t="s">
        <v>216</v>
      </c>
      <c r="I71" s="1" t="s">
        <v>217</v>
      </c>
      <c r="J71" s="2" t="s">
        <v>19</v>
      </c>
      <c r="K71" s="1" t="s">
        <v>20</v>
      </c>
      <c r="M71" s="6">
        <f>9+43/60</f>
        <v>9.7166666666666668</v>
      </c>
      <c r="N71" s="7">
        <v>2804</v>
      </c>
      <c r="O71" s="7">
        <f t="shared" si="2"/>
        <v>288.57632933104628</v>
      </c>
    </row>
    <row r="72" spans="1:15" x14ac:dyDescent="0.4">
      <c r="A72" s="1">
        <v>71</v>
      </c>
      <c r="B72" s="2" t="s">
        <v>110</v>
      </c>
      <c r="C72" s="1" t="s">
        <v>111</v>
      </c>
      <c r="D72" s="2"/>
      <c r="H72" s="2" t="s">
        <v>218</v>
      </c>
      <c r="I72" s="1" t="s">
        <v>219</v>
      </c>
      <c r="J72" s="2" t="s">
        <v>19</v>
      </c>
      <c r="K72" s="1" t="s">
        <v>20</v>
      </c>
      <c r="M72" s="6">
        <f>10+14/60</f>
        <v>10.233333333333333</v>
      </c>
      <c r="N72" s="7">
        <v>2951</v>
      </c>
      <c r="O72" s="7">
        <f t="shared" si="2"/>
        <v>288.37133550488602</v>
      </c>
    </row>
    <row r="73" spans="1:15" x14ac:dyDescent="0.4">
      <c r="A73" s="1">
        <v>72</v>
      </c>
      <c r="B73" s="2" t="s">
        <v>25</v>
      </c>
      <c r="C73" s="1" t="s">
        <v>31</v>
      </c>
      <c r="D73" s="2"/>
      <c r="F73" s="2" t="s">
        <v>118</v>
      </c>
      <c r="G73" s="1" t="s">
        <v>119</v>
      </c>
      <c r="H73" s="2" t="s">
        <v>220</v>
      </c>
      <c r="I73" s="1" t="s">
        <v>221</v>
      </c>
      <c r="J73" s="2" t="s">
        <v>19</v>
      </c>
      <c r="K73" s="1" t="s">
        <v>20</v>
      </c>
      <c r="M73" s="7">
        <f>10+31/60</f>
        <v>10.516666666666667</v>
      </c>
      <c r="N73" s="7">
        <f>3061</f>
        <v>3061</v>
      </c>
      <c r="O73" s="7">
        <f t="shared" si="2"/>
        <v>291.0618066561014</v>
      </c>
    </row>
    <row r="74" spans="1:15" x14ac:dyDescent="0.4">
      <c r="A74" s="1">
        <v>73</v>
      </c>
      <c r="B74" s="2" t="s">
        <v>25</v>
      </c>
      <c r="C74" s="1" t="s">
        <v>26</v>
      </c>
      <c r="D74" s="2"/>
      <c r="F74" s="2" t="s">
        <v>118</v>
      </c>
      <c r="G74" s="1" t="s">
        <v>119</v>
      </c>
      <c r="H74" s="2" t="s">
        <v>222</v>
      </c>
      <c r="I74" s="1" t="s">
        <v>223</v>
      </c>
      <c r="J74" s="2" t="s">
        <v>19</v>
      </c>
      <c r="K74" s="1" t="s">
        <v>20</v>
      </c>
      <c r="M74" s="6">
        <f>7+19/60</f>
        <v>7.3166666666666664</v>
      </c>
      <c r="N74" s="7">
        <f>2121</f>
        <v>2121</v>
      </c>
      <c r="O74" s="7">
        <f t="shared" si="2"/>
        <v>289.88610478359908</v>
      </c>
    </row>
    <row r="75" spans="1:15" x14ac:dyDescent="0.4">
      <c r="A75" s="1">
        <v>74</v>
      </c>
      <c r="D75" s="2" t="s">
        <v>140</v>
      </c>
      <c r="E75" s="1" t="s">
        <v>141</v>
      </c>
      <c r="H75" s="2" t="s">
        <v>224</v>
      </c>
      <c r="I75" s="1" t="s">
        <v>225</v>
      </c>
      <c r="J75" s="2" t="s">
        <v>19</v>
      </c>
      <c r="K75" s="1" t="s">
        <v>20</v>
      </c>
      <c r="M75" s="6">
        <f>1+18/60</f>
        <v>1.3</v>
      </c>
      <c r="N75" s="7">
        <v>355</v>
      </c>
      <c r="O75" s="7">
        <f t="shared" si="2"/>
        <v>273.07692307692309</v>
      </c>
    </row>
    <row r="76" spans="1:15" x14ac:dyDescent="0.4">
      <c r="A76" s="1">
        <v>75</v>
      </c>
      <c r="D76" s="2" t="s">
        <v>140</v>
      </c>
      <c r="E76" s="1" t="s">
        <v>141</v>
      </c>
      <c r="H76" s="2" t="s">
        <v>226</v>
      </c>
      <c r="I76" s="1" t="s">
        <v>227</v>
      </c>
      <c r="J76" s="2" t="s">
        <v>19</v>
      </c>
      <c r="K76" s="1" t="s">
        <v>20</v>
      </c>
      <c r="M76" s="6">
        <f>1+14/60</f>
        <v>1.2333333333333334</v>
      </c>
      <c r="N76" s="7">
        <v>320</v>
      </c>
      <c r="O76" s="7">
        <f t="shared" si="2"/>
        <v>259.45945945945942</v>
      </c>
    </row>
    <row r="77" spans="1:15" x14ac:dyDescent="0.4">
      <c r="A77" s="1">
        <v>76</v>
      </c>
      <c r="D77" s="2" t="s">
        <v>140</v>
      </c>
      <c r="E77" s="1" t="s">
        <v>141</v>
      </c>
      <c r="H77" s="2" t="s">
        <v>228</v>
      </c>
      <c r="I77" s="1" t="s">
        <v>229</v>
      </c>
      <c r="J77" s="2" t="s">
        <v>19</v>
      </c>
      <c r="K77" s="1" t="s">
        <v>20</v>
      </c>
      <c r="M77" s="6">
        <f>1+32/60</f>
        <v>1.5333333333333332</v>
      </c>
      <c r="N77" s="7">
        <v>417</v>
      </c>
      <c r="O77" s="7">
        <f t="shared" si="2"/>
        <v>271.95652173913044</v>
      </c>
    </row>
    <row r="78" spans="1:15" x14ac:dyDescent="0.4">
      <c r="A78" s="1">
        <v>77</v>
      </c>
      <c r="D78" s="2" t="s">
        <v>140</v>
      </c>
      <c r="E78" s="1" t="s">
        <v>141</v>
      </c>
      <c r="H78" s="2" t="s">
        <v>230</v>
      </c>
      <c r="I78" s="1" t="s">
        <v>231</v>
      </c>
      <c r="J78" s="2" t="s">
        <v>19</v>
      </c>
      <c r="K78" s="1" t="s">
        <v>20</v>
      </c>
      <c r="M78" s="6">
        <f>3+13/60</f>
        <v>3.2166666666666668</v>
      </c>
      <c r="N78" s="7">
        <v>896</v>
      </c>
      <c r="O78" s="7">
        <f t="shared" si="2"/>
        <v>278.54922279792743</v>
      </c>
    </row>
    <row r="79" spans="1:15" x14ac:dyDescent="0.4">
      <c r="A79" s="1">
        <v>78</v>
      </c>
      <c r="D79" s="2" t="s">
        <v>140</v>
      </c>
      <c r="E79" s="1" t="s">
        <v>141</v>
      </c>
      <c r="H79" s="2" t="s">
        <v>232</v>
      </c>
      <c r="I79" s="1" t="s">
        <v>233</v>
      </c>
      <c r="J79" s="2" t="s">
        <v>19</v>
      </c>
      <c r="K79" s="1" t="s">
        <v>20</v>
      </c>
      <c r="M79" s="6">
        <f>1+14/60</f>
        <v>1.2333333333333334</v>
      </c>
      <c r="N79" s="7">
        <f>303</f>
        <v>303</v>
      </c>
      <c r="O79" s="7">
        <f t="shared" si="2"/>
        <v>245.67567567567568</v>
      </c>
    </row>
    <row r="80" spans="1:15" x14ac:dyDescent="0.4">
      <c r="A80" s="1">
        <v>79</v>
      </c>
      <c r="D80" s="2" t="s">
        <v>140</v>
      </c>
      <c r="E80" s="1" t="s">
        <v>141</v>
      </c>
      <c r="H80" s="2" t="s">
        <v>234</v>
      </c>
      <c r="I80" s="1" t="s">
        <v>235</v>
      </c>
      <c r="J80" s="2" t="s">
        <v>19</v>
      </c>
      <c r="K80" s="1" t="s">
        <v>20</v>
      </c>
      <c r="M80" s="6">
        <f>1+12/60</f>
        <v>1.2</v>
      </c>
      <c r="N80" s="7">
        <v>313</v>
      </c>
      <c r="O80" s="7">
        <f t="shared" si="2"/>
        <v>260.83333333333337</v>
      </c>
    </row>
    <row r="81" spans="1:15" x14ac:dyDescent="0.4">
      <c r="A81" s="1">
        <v>80</v>
      </c>
      <c r="D81" s="2" t="s">
        <v>140</v>
      </c>
      <c r="E81" s="1" t="s">
        <v>141</v>
      </c>
      <c r="H81" s="2" t="s">
        <v>236</v>
      </c>
      <c r="I81" s="1" t="s">
        <v>237</v>
      </c>
      <c r="J81" s="2" t="s">
        <v>19</v>
      </c>
      <c r="K81" s="1" t="s">
        <v>20</v>
      </c>
      <c r="M81" s="6">
        <f>1+1/60</f>
        <v>1.0166666666666666</v>
      </c>
      <c r="N81" s="7">
        <f>256</f>
        <v>256</v>
      </c>
      <c r="O81" s="7">
        <f t="shared" si="2"/>
        <v>251.80327868852461</v>
      </c>
    </row>
    <row r="82" spans="1:15" x14ac:dyDescent="0.4">
      <c r="A82" s="1">
        <v>81</v>
      </c>
      <c r="D82" s="2" t="s">
        <v>140</v>
      </c>
      <c r="E82" s="1" t="s">
        <v>141</v>
      </c>
      <c r="H82" s="2" t="s">
        <v>238</v>
      </c>
      <c r="I82" s="1" t="s">
        <v>239</v>
      </c>
      <c r="J82" s="2" t="s">
        <v>19</v>
      </c>
      <c r="K82" s="1" t="s">
        <v>20</v>
      </c>
      <c r="M82" s="6">
        <f>2+41/60</f>
        <v>2.6833333333333336</v>
      </c>
      <c r="N82" s="7">
        <v>737</v>
      </c>
      <c r="O82" s="7">
        <f t="shared" si="2"/>
        <v>274.65838509316768</v>
      </c>
    </row>
    <row r="83" spans="1:15" x14ac:dyDescent="0.4">
      <c r="A83" s="1">
        <v>82</v>
      </c>
      <c r="D83" s="2" t="s">
        <v>140</v>
      </c>
      <c r="E83" s="1" t="s">
        <v>141</v>
      </c>
      <c r="H83" s="2" t="s">
        <v>240</v>
      </c>
      <c r="I83" s="1" t="s">
        <v>241</v>
      </c>
      <c r="J83" s="2" t="s">
        <v>19</v>
      </c>
      <c r="K83" s="1" t="s">
        <v>20</v>
      </c>
      <c r="M83" s="6">
        <f>1+58/60</f>
        <v>1.9666666666666668</v>
      </c>
      <c r="N83" s="7">
        <v>525</v>
      </c>
      <c r="O83" s="7">
        <f t="shared" si="2"/>
        <v>266.94915254237287</v>
      </c>
    </row>
    <row r="84" spans="1:15" x14ac:dyDescent="0.4">
      <c r="A84" s="1">
        <v>83</v>
      </c>
      <c r="D84" s="2" t="s">
        <v>140</v>
      </c>
      <c r="E84" s="1" t="s">
        <v>141</v>
      </c>
      <c r="H84" s="2" t="s">
        <v>242</v>
      </c>
      <c r="I84" s="1" t="s">
        <v>243</v>
      </c>
      <c r="J84" s="2" t="s">
        <v>19</v>
      </c>
      <c r="K84" s="1" t="s">
        <v>20</v>
      </c>
      <c r="M84" s="6">
        <f>1+25/60</f>
        <v>1.4166666666666667</v>
      </c>
      <c r="N84" s="7">
        <f>380</f>
        <v>380</v>
      </c>
      <c r="O84" s="7">
        <f t="shared" si="2"/>
        <v>268.23529411764707</v>
      </c>
    </row>
    <row r="85" spans="1:15" x14ac:dyDescent="0.4">
      <c r="A85" s="1">
        <v>84</v>
      </c>
      <c r="D85" s="2" t="s">
        <v>140</v>
      </c>
      <c r="E85" s="1" t="s">
        <v>141</v>
      </c>
      <c r="H85" s="2" t="s">
        <v>244</v>
      </c>
      <c r="I85" s="1" t="s">
        <v>245</v>
      </c>
      <c r="J85" s="2" t="s">
        <v>19</v>
      </c>
      <c r="K85" s="1" t="s">
        <v>20</v>
      </c>
      <c r="M85" s="6">
        <f>1+24/60</f>
        <v>1.4</v>
      </c>
      <c r="N85" s="7">
        <f>344</f>
        <v>344</v>
      </c>
      <c r="O85" s="7">
        <f t="shared" si="2"/>
        <v>245.71428571428572</v>
      </c>
    </row>
    <row r="86" spans="1:15" x14ac:dyDescent="0.4">
      <c r="A86" s="1">
        <v>85</v>
      </c>
      <c r="D86" s="2" t="s">
        <v>140</v>
      </c>
      <c r="E86" s="1" t="s">
        <v>141</v>
      </c>
      <c r="H86" s="2" t="s">
        <v>246</v>
      </c>
      <c r="I86" s="1" t="s">
        <v>247</v>
      </c>
      <c r="J86" s="2" t="s">
        <v>19</v>
      </c>
      <c r="K86" s="1" t="s">
        <v>20</v>
      </c>
      <c r="M86" s="6">
        <f>1+46/60</f>
        <v>1.7666666666666666</v>
      </c>
      <c r="N86" s="7">
        <f>482</f>
        <v>482</v>
      </c>
      <c r="O86" s="7">
        <f t="shared" si="2"/>
        <v>272.83018867924528</v>
      </c>
    </row>
    <row r="87" spans="1:15" x14ac:dyDescent="0.4">
      <c r="A87" s="1">
        <v>86</v>
      </c>
      <c r="D87" s="2" t="s">
        <v>140</v>
      </c>
      <c r="E87" s="1" t="s">
        <v>141</v>
      </c>
      <c r="H87" s="2" t="s">
        <v>248</v>
      </c>
      <c r="I87" s="1" t="s">
        <v>249</v>
      </c>
      <c r="J87" s="2" t="s">
        <v>19</v>
      </c>
      <c r="K87" s="1" t="s">
        <v>20</v>
      </c>
      <c r="M87" s="6">
        <f>1+48/60</f>
        <v>1.8</v>
      </c>
      <c r="N87" s="7">
        <f>472</f>
        <v>472</v>
      </c>
      <c r="O87" s="7">
        <f t="shared" si="2"/>
        <v>262.22222222222223</v>
      </c>
    </row>
    <row r="88" spans="1:15" x14ac:dyDescent="0.4">
      <c r="A88" s="1">
        <v>87</v>
      </c>
      <c r="D88" s="2" t="s">
        <v>140</v>
      </c>
      <c r="E88" s="1" t="s">
        <v>141</v>
      </c>
      <c r="H88" s="2" t="s">
        <v>250</v>
      </c>
      <c r="I88" s="1" t="s">
        <v>251</v>
      </c>
      <c r="J88" s="2" t="s">
        <v>19</v>
      </c>
      <c r="K88" s="1" t="s">
        <v>20</v>
      </c>
      <c r="M88" s="6">
        <f>2+10/60</f>
        <v>2.1666666666666665</v>
      </c>
      <c r="N88" s="7">
        <f>580</f>
        <v>580</v>
      </c>
      <c r="O88" s="7">
        <f t="shared" si="2"/>
        <v>267.69230769230774</v>
      </c>
    </row>
    <row r="89" spans="1:15" x14ac:dyDescent="0.4">
      <c r="A89" s="1">
        <v>88</v>
      </c>
      <c r="D89" s="2" t="s">
        <v>140</v>
      </c>
      <c r="E89" s="1" t="s">
        <v>141</v>
      </c>
      <c r="H89" s="2" t="s">
        <v>252</v>
      </c>
      <c r="I89" s="1" t="s">
        <v>253</v>
      </c>
      <c r="J89" s="2" t="s">
        <v>19</v>
      </c>
      <c r="K89" s="1" t="s">
        <v>20</v>
      </c>
      <c r="M89" s="6">
        <f>3+32/60</f>
        <v>3.5333333333333332</v>
      </c>
      <c r="N89" s="7">
        <v>989</v>
      </c>
      <c r="O89" s="7">
        <f t="shared" si="2"/>
        <v>279.90566037735852</v>
      </c>
    </row>
    <row r="90" spans="1:15" x14ac:dyDescent="0.4">
      <c r="A90" s="1">
        <v>89</v>
      </c>
      <c r="D90" s="2" t="s">
        <v>140</v>
      </c>
      <c r="E90" s="1" t="s">
        <v>141</v>
      </c>
      <c r="H90" s="2" t="s">
        <v>254</v>
      </c>
      <c r="I90" s="1" t="s">
        <v>255</v>
      </c>
      <c r="J90" s="2" t="s">
        <v>19</v>
      </c>
      <c r="K90" s="1" t="s">
        <v>20</v>
      </c>
      <c r="M90" s="6">
        <f>1+55/60</f>
        <v>1.9166666666666665</v>
      </c>
      <c r="N90" s="7">
        <v>521</v>
      </c>
      <c r="O90" s="7">
        <f t="shared" si="2"/>
        <v>271.82608695652175</v>
      </c>
    </row>
    <row r="91" spans="1:15" x14ac:dyDescent="0.4">
      <c r="A91" s="1">
        <v>90</v>
      </c>
      <c r="B91" s="2" t="s">
        <v>256</v>
      </c>
      <c r="C91" s="1" t="s">
        <v>257</v>
      </c>
      <c r="D91" s="2" t="s">
        <v>66</v>
      </c>
      <c r="E91" s="1" t="s">
        <v>16</v>
      </c>
      <c r="H91" s="2" t="s">
        <v>258</v>
      </c>
      <c r="I91" s="1" t="s">
        <v>259</v>
      </c>
      <c r="J91" s="2" t="s">
        <v>19</v>
      </c>
      <c r="K91" s="1" t="s">
        <v>20</v>
      </c>
      <c r="M91" s="6">
        <f>12+34/60</f>
        <v>12.566666666666666</v>
      </c>
      <c r="N91" s="7">
        <f>3843</f>
        <v>3843</v>
      </c>
      <c r="O91" s="7">
        <f t="shared" si="2"/>
        <v>305.80901856763927</v>
      </c>
    </row>
    <row r="92" spans="1:15" x14ac:dyDescent="0.4">
      <c r="A92" s="1">
        <v>91</v>
      </c>
      <c r="B92" s="2" t="s">
        <v>92</v>
      </c>
      <c r="C92" s="1" t="s">
        <v>31</v>
      </c>
      <c r="D92" s="2"/>
      <c r="H92" s="2" t="s">
        <v>260</v>
      </c>
      <c r="I92" s="1" t="s">
        <v>261</v>
      </c>
      <c r="J92" s="2" t="s">
        <v>19</v>
      </c>
      <c r="K92" s="1" t="s">
        <v>20</v>
      </c>
      <c r="M92" s="6">
        <f>5+16/60</f>
        <v>5.2666666666666666</v>
      </c>
      <c r="N92" s="7">
        <f>1506</f>
        <v>1506</v>
      </c>
      <c r="O92" s="7">
        <f t="shared" si="2"/>
        <v>285.94936708860757</v>
      </c>
    </row>
    <row r="93" spans="1:15" x14ac:dyDescent="0.4">
      <c r="A93" s="1">
        <v>92</v>
      </c>
      <c r="B93" s="2" t="s">
        <v>262</v>
      </c>
      <c r="C93" s="1" t="s">
        <v>257</v>
      </c>
      <c r="D93" s="2" t="s">
        <v>66</v>
      </c>
      <c r="E93" s="1" t="s">
        <v>67</v>
      </c>
      <c r="H93" s="2" t="s">
        <v>263</v>
      </c>
      <c r="I93" s="1" t="s">
        <v>264</v>
      </c>
      <c r="J93" s="2" t="s">
        <v>19</v>
      </c>
      <c r="K93" s="1" t="s">
        <v>20</v>
      </c>
      <c r="M93" s="6">
        <f>4+24/60</f>
        <v>4.4000000000000004</v>
      </c>
      <c r="N93" s="7">
        <f>1281</f>
        <v>1281</v>
      </c>
      <c r="O93" s="7">
        <f t="shared" si="2"/>
        <v>291.13636363636363</v>
      </c>
    </row>
    <row r="94" spans="1:15" x14ac:dyDescent="0.4">
      <c r="A94" s="1">
        <v>93</v>
      </c>
      <c r="B94" s="2" t="s">
        <v>262</v>
      </c>
      <c r="C94" s="1" t="s">
        <v>257</v>
      </c>
      <c r="D94" s="2" t="s">
        <v>144</v>
      </c>
      <c r="E94" s="1" t="s">
        <v>122</v>
      </c>
      <c r="H94" s="2" t="s">
        <v>265</v>
      </c>
      <c r="I94" s="1" t="s">
        <v>266</v>
      </c>
      <c r="J94" s="2" t="s">
        <v>19</v>
      </c>
      <c r="K94" s="1" t="s">
        <v>20</v>
      </c>
      <c r="M94" s="6">
        <f>7+37/60</f>
        <v>7.6166666666666671</v>
      </c>
      <c r="N94" s="7">
        <f>2210</f>
        <v>2210</v>
      </c>
      <c r="O94" s="7">
        <f t="shared" si="2"/>
        <v>290.15317286652078</v>
      </c>
    </row>
    <row r="95" spans="1:15" x14ac:dyDescent="0.4">
      <c r="A95" s="1">
        <v>94</v>
      </c>
      <c r="B95" s="2" t="s">
        <v>262</v>
      </c>
      <c r="C95" s="1" t="s">
        <v>257</v>
      </c>
      <c r="D95" s="2" t="s">
        <v>144</v>
      </c>
      <c r="E95" s="1" t="s">
        <v>122</v>
      </c>
      <c r="F95" s="2" t="s">
        <v>267</v>
      </c>
      <c r="G95" s="1" t="s">
        <v>268</v>
      </c>
      <c r="H95" s="2" t="s">
        <v>269</v>
      </c>
      <c r="I95" s="1" t="s">
        <v>270</v>
      </c>
      <c r="J95" s="2" t="s">
        <v>19</v>
      </c>
      <c r="K95" s="1" t="s">
        <v>20</v>
      </c>
      <c r="M95" s="6">
        <f>5+14/60</f>
        <v>5.2333333333333334</v>
      </c>
      <c r="N95" s="7">
        <f>1589</f>
        <v>1589</v>
      </c>
      <c r="O95" s="7">
        <f t="shared" si="2"/>
        <v>303.63057324840764</v>
      </c>
    </row>
    <row r="96" spans="1:15" x14ac:dyDescent="0.4">
      <c r="A96" s="1">
        <v>95</v>
      </c>
      <c r="B96" s="2" t="s">
        <v>262</v>
      </c>
      <c r="C96" s="1" t="s">
        <v>257</v>
      </c>
      <c r="D96" s="2" t="s">
        <v>144</v>
      </c>
      <c r="E96" s="1" t="s">
        <v>122</v>
      </c>
      <c r="F96" s="2" t="s">
        <v>267</v>
      </c>
      <c r="G96" s="1" t="s">
        <v>268</v>
      </c>
      <c r="H96" s="2" t="s">
        <v>271</v>
      </c>
      <c r="I96" s="1" t="s">
        <v>272</v>
      </c>
      <c r="J96" s="2" t="s">
        <v>19</v>
      </c>
      <c r="K96" s="1" t="s">
        <v>20</v>
      </c>
      <c r="M96" s="6">
        <f>6+34/60</f>
        <v>6.5666666666666664</v>
      </c>
      <c r="N96" s="7">
        <f>1968</f>
        <v>1968</v>
      </c>
      <c r="O96" s="7">
        <f t="shared" si="2"/>
        <v>299.69543147208122</v>
      </c>
    </row>
    <row r="97" spans="1:15" x14ac:dyDescent="0.4">
      <c r="A97" s="1">
        <v>96</v>
      </c>
      <c r="B97" s="2" t="s">
        <v>262</v>
      </c>
      <c r="C97" s="1" t="s">
        <v>257</v>
      </c>
      <c r="D97" s="2" t="s">
        <v>144</v>
      </c>
      <c r="E97" s="1" t="s">
        <v>122</v>
      </c>
      <c r="F97" s="2" t="s">
        <v>267</v>
      </c>
      <c r="G97" s="1" t="s">
        <v>268</v>
      </c>
      <c r="H97" s="2" t="s">
        <v>273</v>
      </c>
      <c r="I97" s="1" t="s">
        <v>274</v>
      </c>
      <c r="J97" s="2" t="s">
        <v>19</v>
      </c>
      <c r="K97" s="1" t="s">
        <v>20</v>
      </c>
      <c r="M97" s="6">
        <f>5+36/60</f>
        <v>5.6</v>
      </c>
      <c r="N97" s="7">
        <f>1701</f>
        <v>1701</v>
      </c>
      <c r="O97" s="7">
        <f t="shared" si="2"/>
        <v>303.75</v>
      </c>
    </row>
    <row r="98" spans="1:15" x14ac:dyDescent="0.4">
      <c r="A98" s="1">
        <v>97</v>
      </c>
      <c r="B98" s="2" t="s">
        <v>275</v>
      </c>
      <c r="C98" s="1" t="s">
        <v>276</v>
      </c>
      <c r="D98" s="2" t="s">
        <v>40</v>
      </c>
      <c r="E98" s="1" t="s">
        <v>41</v>
      </c>
      <c r="H98" s="2" t="s">
        <v>277</v>
      </c>
      <c r="I98" s="1" t="s">
        <v>278</v>
      </c>
      <c r="J98" s="2" t="s">
        <v>19</v>
      </c>
      <c r="K98" s="1" t="s">
        <v>20</v>
      </c>
      <c r="M98" s="6">
        <f>7+39/60</f>
        <v>7.65</v>
      </c>
      <c r="N98" s="7">
        <f>2215</f>
        <v>2215</v>
      </c>
      <c r="O98" s="7">
        <f t="shared" si="2"/>
        <v>289.5424836601307</v>
      </c>
    </row>
    <row r="99" spans="1:15" x14ac:dyDescent="0.4">
      <c r="A99" s="1">
        <v>98</v>
      </c>
      <c r="B99" s="1" t="s">
        <v>279</v>
      </c>
      <c r="C99" s="1" t="s">
        <v>111</v>
      </c>
      <c r="D99" s="1" t="s">
        <v>280</v>
      </c>
      <c r="E99" s="1" t="s">
        <v>281</v>
      </c>
      <c r="F99" s="1"/>
      <c r="H99" s="9" t="s">
        <v>282</v>
      </c>
      <c r="I99" s="1" t="s">
        <v>282</v>
      </c>
      <c r="J99" s="1" t="s">
        <v>283</v>
      </c>
      <c r="K99" s="1" t="s">
        <v>284</v>
      </c>
      <c r="M99" s="6">
        <f>13+3/60</f>
        <v>13.05</v>
      </c>
      <c r="N99" s="1">
        <f>3887</f>
        <v>3887</v>
      </c>
      <c r="O99" s="7">
        <f t="shared" si="2"/>
        <v>297.85440613026816</v>
      </c>
    </row>
    <row r="100" spans="1:15" x14ac:dyDescent="0.4">
      <c r="A100" s="1">
        <v>99</v>
      </c>
      <c r="B100" s="1" t="s">
        <v>279</v>
      </c>
      <c r="C100" s="1" t="s">
        <v>111</v>
      </c>
      <c r="D100" s="1" t="s">
        <v>280</v>
      </c>
      <c r="E100" s="1" t="s">
        <v>281</v>
      </c>
      <c r="F100" s="1"/>
      <c r="H100" s="1" t="s">
        <v>285</v>
      </c>
      <c r="I100" s="1" t="s">
        <v>285</v>
      </c>
      <c r="J100" s="1" t="s">
        <v>283</v>
      </c>
      <c r="K100" s="1" t="s">
        <v>284</v>
      </c>
      <c r="M100" s="11">
        <f>9+18/60</f>
        <v>9.3000000000000007</v>
      </c>
      <c r="N100" s="1">
        <f>2669</f>
        <v>2669</v>
      </c>
      <c r="O100" s="7">
        <f t="shared" si="2"/>
        <v>286.98924731182791</v>
      </c>
    </row>
    <row r="101" spans="1:15" x14ac:dyDescent="0.4">
      <c r="A101" s="1">
        <v>100</v>
      </c>
      <c r="B101" s="1" t="s">
        <v>279</v>
      </c>
      <c r="C101" s="1" t="s">
        <v>111</v>
      </c>
      <c r="D101" s="1" t="s">
        <v>280</v>
      </c>
      <c r="E101" s="1" t="s">
        <v>281</v>
      </c>
      <c r="F101" s="1"/>
      <c r="H101" s="1" t="s">
        <v>286</v>
      </c>
      <c r="I101" s="1" t="s">
        <v>286</v>
      </c>
      <c r="J101" s="1" t="s">
        <v>283</v>
      </c>
      <c r="K101" s="1" t="s">
        <v>284</v>
      </c>
      <c r="M101" s="11">
        <f>21+19/60</f>
        <v>21.316666666666666</v>
      </c>
      <c r="N101" s="1">
        <f>6223</f>
        <v>6223</v>
      </c>
      <c r="O101" s="7">
        <f t="shared" si="2"/>
        <v>291.93119624706804</v>
      </c>
    </row>
    <row r="102" spans="1:15" x14ac:dyDescent="0.4">
      <c r="A102" s="1">
        <v>101</v>
      </c>
      <c r="B102" s="1" t="s">
        <v>279</v>
      </c>
      <c r="C102" s="1" t="s">
        <v>111</v>
      </c>
      <c r="D102" s="1" t="s">
        <v>280</v>
      </c>
      <c r="E102" s="1" t="s">
        <v>281</v>
      </c>
      <c r="F102" s="1"/>
      <c r="H102" s="9" t="s">
        <v>287</v>
      </c>
      <c r="I102" s="1" t="s">
        <v>287</v>
      </c>
      <c r="J102" s="1" t="s">
        <v>283</v>
      </c>
      <c r="K102" s="1" t="s">
        <v>284</v>
      </c>
      <c r="M102" s="11">
        <f>8+2/60</f>
        <v>8.0333333333333332</v>
      </c>
      <c r="N102" s="1">
        <f>2295</f>
        <v>2295</v>
      </c>
      <c r="O102" s="7">
        <f t="shared" si="2"/>
        <v>285.68464730290458</v>
      </c>
    </row>
    <row r="103" spans="1:15" x14ac:dyDescent="0.4">
      <c r="A103" s="1">
        <v>102</v>
      </c>
      <c r="B103" s="1" t="s">
        <v>279</v>
      </c>
      <c r="C103" s="1" t="s">
        <v>111</v>
      </c>
      <c r="D103" s="1" t="s">
        <v>280</v>
      </c>
      <c r="E103" s="1" t="s">
        <v>281</v>
      </c>
      <c r="F103" s="1"/>
      <c r="H103" s="1" t="s">
        <v>288</v>
      </c>
      <c r="I103" s="1" t="s">
        <v>289</v>
      </c>
      <c r="J103" s="1" t="s">
        <v>283</v>
      </c>
      <c r="K103" s="1" t="s">
        <v>284</v>
      </c>
      <c r="M103" s="11">
        <f>6+28/60</f>
        <v>6.4666666666666668</v>
      </c>
      <c r="N103" s="1">
        <f>1855</f>
        <v>1855</v>
      </c>
      <c r="O103" s="7">
        <f t="shared" si="2"/>
        <v>286.85567010309279</v>
      </c>
    </row>
    <row r="104" spans="1:15" x14ac:dyDescent="0.4">
      <c r="A104" s="1">
        <v>103</v>
      </c>
      <c r="B104" s="1" t="s">
        <v>279</v>
      </c>
      <c r="C104" s="1" t="s">
        <v>111</v>
      </c>
      <c r="D104" s="1" t="s">
        <v>280</v>
      </c>
      <c r="E104" s="1" t="s">
        <v>281</v>
      </c>
      <c r="F104" s="1"/>
      <c r="H104" s="1" t="s">
        <v>290</v>
      </c>
      <c r="I104" s="1" t="s">
        <v>290</v>
      </c>
      <c r="J104" s="1" t="s">
        <v>283</v>
      </c>
      <c r="K104" s="1" t="s">
        <v>284</v>
      </c>
      <c r="M104" s="11">
        <f>12+34/60</f>
        <v>12.566666666666666</v>
      </c>
      <c r="N104" s="1">
        <f>3467</f>
        <v>3467</v>
      </c>
      <c r="O104" s="7">
        <f t="shared" si="2"/>
        <v>275.88859416445626</v>
      </c>
    </row>
    <row r="105" spans="1:15" x14ac:dyDescent="0.4">
      <c r="A105" s="1">
        <v>104</v>
      </c>
      <c r="B105" s="1" t="s">
        <v>279</v>
      </c>
      <c r="C105" s="1" t="s">
        <v>111</v>
      </c>
      <c r="D105" s="1" t="s">
        <v>280</v>
      </c>
      <c r="E105" s="1" t="s">
        <v>281</v>
      </c>
      <c r="F105" s="1"/>
      <c r="H105" s="9" t="s">
        <v>291</v>
      </c>
      <c r="I105" s="1" t="s">
        <v>291</v>
      </c>
      <c r="J105" s="1" t="s">
        <v>283</v>
      </c>
      <c r="K105" s="1" t="s">
        <v>284</v>
      </c>
      <c r="M105" s="11">
        <f>9+21/60</f>
        <v>9.35</v>
      </c>
      <c r="N105" s="1">
        <f>2668</f>
        <v>2668</v>
      </c>
      <c r="O105" s="7">
        <f t="shared" si="2"/>
        <v>285.34759358288773</v>
      </c>
    </row>
    <row r="106" spans="1:15" x14ac:dyDescent="0.4">
      <c r="A106" s="1">
        <v>105</v>
      </c>
      <c r="B106" s="1" t="s">
        <v>279</v>
      </c>
      <c r="C106" s="1" t="s">
        <v>111</v>
      </c>
      <c r="D106" s="1" t="s">
        <v>280</v>
      </c>
      <c r="E106" s="1" t="s">
        <v>281</v>
      </c>
      <c r="F106" s="1"/>
      <c r="H106" s="1" t="s">
        <v>292</v>
      </c>
      <c r="I106" s="1" t="s">
        <v>293</v>
      </c>
      <c r="J106" s="1" t="s">
        <v>283</v>
      </c>
      <c r="K106" s="1" t="s">
        <v>284</v>
      </c>
      <c r="M106" s="11">
        <f>12+39/60</f>
        <v>12.65</v>
      </c>
      <c r="N106" s="1">
        <f>3929</f>
        <v>3929</v>
      </c>
      <c r="O106" s="7">
        <f t="shared" si="2"/>
        <v>310.59288537549406</v>
      </c>
    </row>
    <row r="107" spans="1:15" x14ac:dyDescent="0.4">
      <c r="A107" s="1">
        <v>106</v>
      </c>
      <c r="B107" s="1" t="s">
        <v>279</v>
      </c>
      <c r="C107" s="1" t="s">
        <v>111</v>
      </c>
      <c r="D107" s="1" t="s">
        <v>280</v>
      </c>
      <c r="E107" s="1" t="s">
        <v>281</v>
      </c>
      <c r="F107" s="1"/>
      <c r="H107" s="1" t="s">
        <v>294</v>
      </c>
      <c r="I107" s="1" t="s">
        <v>295</v>
      </c>
      <c r="J107" s="1" t="s">
        <v>283</v>
      </c>
      <c r="K107" s="1" t="s">
        <v>284</v>
      </c>
      <c r="M107" s="11">
        <f>14+2/60</f>
        <v>14.033333333333333</v>
      </c>
      <c r="N107" s="1">
        <f>4179</f>
        <v>4179</v>
      </c>
      <c r="O107" s="7">
        <f t="shared" si="2"/>
        <v>297.79097387173397</v>
      </c>
    </row>
    <row r="108" spans="1:15" x14ac:dyDescent="0.4">
      <c r="A108" s="1">
        <v>107</v>
      </c>
      <c r="B108" s="1" t="s">
        <v>279</v>
      </c>
      <c r="C108" s="1" t="s">
        <v>111</v>
      </c>
      <c r="D108" s="1" t="s">
        <v>280</v>
      </c>
      <c r="E108" s="1" t="s">
        <v>281</v>
      </c>
      <c r="F108" s="1"/>
      <c r="H108" s="9" t="s">
        <v>296</v>
      </c>
      <c r="I108" s="1" t="s">
        <v>296</v>
      </c>
      <c r="J108" s="1" t="s">
        <v>283</v>
      </c>
      <c r="K108" s="1" t="s">
        <v>284</v>
      </c>
      <c r="M108" s="11">
        <f>9+14/60</f>
        <v>9.2333333333333325</v>
      </c>
      <c r="N108" s="1">
        <f>2580</f>
        <v>2580</v>
      </c>
      <c r="O108" s="7">
        <f t="shared" si="2"/>
        <v>279.42238267148019</v>
      </c>
    </row>
    <row r="109" spans="1:15" x14ac:dyDescent="0.4">
      <c r="A109" s="1">
        <v>108</v>
      </c>
      <c r="B109" s="1" t="s">
        <v>279</v>
      </c>
      <c r="C109" s="1" t="s">
        <v>111</v>
      </c>
      <c r="D109" s="1" t="s">
        <v>280</v>
      </c>
      <c r="E109" s="1" t="s">
        <v>281</v>
      </c>
      <c r="F109" s="1"/>
      <c r="H109" s="9" t="s">
        <v>297</v>
      </c>
      <c r="I109" s="1" t="s">
        <v>297</v>
      </c>
      <c r="J109" s="1" t="s">
        <v>283</v>
      </c>
      <c r="K109" s="1" t="s">
        <v>284</v>
      </c>
      <c r="M109" s="11">
        <f>11+45/60</f>
        <v>11.75</v>
      </c>
      <c r="N109" s="1">
        <f>3287</f>
        <v>3287</v>
      </c>
      <c r="O109" s="7">
        <f t="shared" si="2"/>
        <v>279.74468085106383</v>
      </c>
    </row>
    <row r="110" spans="1:15" x14ac:dyDescent="0.4">
      <c r="A110" s="1">
        <v>109</v>
      </c>
      <c r="B110" s="1" t="s">
        <v>279</v>
      </c>
      <c r="C110" s="1" t="s">
        <v>111</v>
      </c>
      <c r="D110" s="1" t="s">
        <v>280</v>
      </c>
      <c r="E110" s="1" t="s">
        <v>281</v>
      </c>
      <c r="F110" s="1"/>
      <c r="H110" s="9" t="s">
        <v>298</v>
      </c>
      <c r="I110" s="1" t="s">
        <v>298</v>
      </c>
      <c r="J110" s="1" t="s">
        <v>283</v>
      </c>
      <c r="K110" s="1" t="s">
        <v>284</v>
      </c>
      <c r="M110" s="11">
        <f>3+41/60</f>
        <v>3.6833333333333336</v>
      </c>
      <c r="N110" s="1">
        <f>1026</f>
        <v>1026</v>
      </c>
      <c r="O110" s="7">
        <f t="shared" si="2"/>
        <v>278.55203619909503</v>
      </c>
    </row>
    <row r="111" spans="1:15" x14ac:dyDescent="0.4">
      <c r="A111" s="1">
        <v>110</v>
      </c>
      <c r="B111" s="1" t="s">
        <v>279</v>
      </c>
      <c r="C111" s="1" t="s">
        <v>111</v>
      </c>
      <c r="D111" s="1" t="s">
        <v>280</v>
      </c>
      <c r="E111" s="1" t="s">
        <v>281</v>
      </c>
      <c r="F111" s="1"/>
      <c r="H111" s="9" t="s">
        <v>299</v>
      </c>
      <c r="I111" s="1" t="s">
        <v>299</v>
      </c>
      <c r="J111" s="1" t="s">
        <v>283</v>
      </c>
      <c r="K111" s="1" t="s">
        <v>284</v>
      </c>
      <c r="M111" s="11">
        <f>9+15/60</f>
        <v>9.25</v>
      </c>
      <c r="N111" s="1">
        <f>2616</f>
        <v>2616</v>
      </c>
      <c r="O111" s="7">
        <f t="shared" si="2"/>
        <v>282.81081081081084</v>
      </c>
    </row>
    <row r="112" spans="1:15" x14ac:dyDescent="0.4">
      <c r="A112" s="1">
        <v>111</v>
      </c>
      <c r="B112" s="1" t="s">
        <v>279</v>
      </c>
      <c r="C112" s="1" t="s">
        <v>111</v>
      </c>
      <c r="D112" s="1" t="s">
        <v>280</v>
      </c>
      <c r="E112" s="1" t="s">
        <v>281</v>
      </c>
      <c r="F112" s="1"/>
      <c r="H112" s="9" t="s">
        <v>300</v>
      </c>
      <c r="I112" s="1" t="s">
        <v>300</v>
      </c>
      <c r="J112" s="1" t="s">
        <v>283</v>
      </c>
      <c r="K112" s="1" t="s">
        <v>284</v>
      </c>
      <c r="M112" s="11">
        <f>17+48/60</f>
        <v>17.8</v>
      </c>
      <c r="N112" s="1">
        <v>5112</v>
      </c>
      <c r="O112" s="7">
        <f t="shared" si="2"/>
        <v>287.19101123595505</v>
      </c>
    </row>
    <row r="113" spans="1:15" x14ac:dyDescent="0.4">
      <c r="A113" s="1">
        <v>112</v>
      </c>
      <c r="B113" s="1" t="s">
        <v>279</v>
      </c>
      <c r="C113" s="1" t="s">
        <v>111</v>
      </c>
      <c r="D113" s="1" t="s">
        <v>280</v>
      </c>
      <c r="E113" s="1" t="s">
        <v>281</v>
      </c>
      <c r="F113" s="1"/>
      <c r="H113" s="1" t="s">
        <v>301</v>
      </c>
      <c r="I113" s="1" t="s">
        <v>301</v>
      </c>
      <c r="J113" s="1" t="s">
        <v>283</v>
      </c>
      <c r="K113" s="1" t="s">
        <v>284</v>
      </c>
      <c r="M113" s="11">
        <f>20+43/60</f>
        <v>20.716666666666665</v>
      </c>
      <c r="N113" s="1">
        <f>6217</f>
        <v>6217</v>
      </c>
      <c r="O113" s="7">
        <f t="shared" si="2"/>
        <v>300.09654062751412</v>
      </c>
    </row>
    <row r="114" spans="1:15" x14ac:dyDescent="0.4">
      <c r="A114" s="1">
        <v>113</v>
      </c>
      <c r="B114" s="1" t="s">
        <v>279</v>
      </c>
      <c r="C114" s="1" t="s">
        <v>111</v>
      </c>
      <c r="D114" s="1" t="s">
        <v>280</v>
      </c>
      <c r="E114" s="1" t="s">
        <v>281</v>
      </c>
      <c r="F114" s="1"/>
      <c r="H114" s="9" t="s">
        <v>302</v>
      </c>
      <c r="I114" s="1" t="s">
        <v>302</v>
      </c>
      <c r="J114" s="1" t="s">
        <v>283</v>
      </c>
      <c r="K114" s="1" t="s">
        <v>284</v>
      </c>
      <c r="M114" s="11">
        <f>5+30/60</f>
        <v>5.5</v>
      </c>
      <c r="N114" s="1">
        <f>1511</f>
        <v>1511</v>
      </c>
      <c r="O114" s="7">
        <f t="shared" si="2"/>
        <v>274.72727272727275</v>
      </c>
    </row>
    <row r="115" spans="1:15" x14ac:dyDescent="0.4">
      <c r="A115" s="1">
        <v>114</v>
      </c>
      <c r="B115" s="1" t="s">
        <v>279</v>
      </c>
      <c r="C115" s="1" t="s">
        <v>111</v>
      </c>
      <c r="D115" s="1" t="s">
        <v>280</v>
      </c>
      <c r="E115" s="1" t="s">
        <v>281</v>
      </c>
      <c r="F115" s="1"/>
      <c r="H115" s="9" t="s">
        <v>303</v>
      </c>
      <c r="I115" s="1" t="s">
        <v>303</v>
      </c>
      <c r="J115" s="1" t="s">
        <v>283</v>
      </c>
      <c r="K115" s="1" t="s">
        <v>284</v>
      </c>
      <c r="M115" s="11">
        <f>8+39/60</f>
        <v>8.65</v>
      </c>
      <c r="N115" s="1">
        <f>2436</f>
        <v>2436</v>
      </c>
      <c r="O115" s="7">
        <f t="shared" si="2"/>
        <v>281.61849710982659</v>
      </c>
    </row>
    <row r="116" spans="1:15" x14ac:dyDescent="0.4">
      <c r="A116" s="1">
        <v>115</v>
      </c>
      <c r="B116" s="1" t="s">
        <v>279</v>
      </c>
      <c r="C116" s="1" t="s">
        <v>111</v>
      </c>
      <c r="D116" s="1" t="s">
        <v>280</v>
      </c>
      <c r="E116" s="1" t="s">
        <v>281</v>
      </c>
      <c r="F116" s="1"/>
      <c r="H116" s="9" t="s">
        <v>304</v>
      </c>
      <c r="I116" s="1" t="s">
        <v>304</v>
      </c>
      <c r="J116" s="1" t="s">
        <v>283</v>
      </c>
      <c r="K116" s="1" t="s">
        <v>284</v>
      </c>
      <c r="M116" s="11">
        <f>6+51/60</f>
        <v>6.85</v>
      </c>
      <c r="N116" s="1">
        <f>1903</f>
        <v>1903</v>
      </c>
      <c r="O116" s="7">
        <f t="shared" si="2"/>
        <v>277.81021897810223</v>
      </c>
    </row>
    <row r="117" spans="1:15" x14ac:dyDescent="0.4">
      <c r="A117" s="1">
        <v>116</v>
      </c>
      <c r="B117" s="1" t="s">
        <v>279</v>
      </c>
      <c r="C117" s="1" t="s">
        <v>111</v>
      </c>
      <c r="D117" s="1" t="s">
        <v>280</v>
      </c>
      <c r="E117" s="1" t="s">
        <v>281</v>
      </c>
      <c r="F117" s="1"/>
      <c r="H117" s="1" t="s">
        <v>305</v>
      </c>
      <c r="I117" s="1" t="s">
        <v>305</v>
      </c>
      <c r="J117" s="1" t="s">
        <v>283</v>
      </c>
      <c r="K117" s="1" t="s">
        <v>284</v>
      </c>
      <c r="M117" s="11">
        <f>4</f>
        <v>4</v>
      </c>
      <c r="N117" s="1">
        <f>1129</f>
        <v>1129</v>
      </c>
      <c r="O117" s="7">
        <f t="shared" si="2"/>
        <v>282.25</v>
      </c>
    </row>
    <row r="118" spans="1:15" x14ac:dyDescent="0.4">
      <c r="A118" s="1">
        <v>117</v>
      </c>
      <c r="B118" s="1" t="s">
        <v>279</v>
      </c>
      <c r="C118" s="1" t="s">
        <v>111</v>
      </c>
      <c r="D118" s="1" t="s">
        <v>280</v>
      </c>
      <c r="E118" s="1" t="s">
        <v>281</v>
      </c>
      <c r="F118" s="1"/>
      <c r="H118" s="9" t="s">
        <v>306</v>
      </c>
      <c r="I118" s="1" t="s">
        <v>306</v>
      </c>
      <c r="J118" s="1" t="s">
        <v>283</v>
      </c>
      <c r="K118" s="1" t="s">
        <v>284</v>
      </c>
      <c r="M118" s="11">
        <f>24+15/60</f>
        <v>24.25</v>
      </c>
      <c r="N118" s="1">
        <f>6962</f>
        <v>6962</v>
      </c>
      <c r="O118" s="7">
        <f t="shared" si="2"/>
        <v>287.09278350515461</v>
      </c>
    </row>
    <row r="119" spans="1:15" x14ac:dyDescent="0.4">
      <c r="A119" s="1">
        <v>118</v>
      </c>
      <c r="B119" s="1" t="s">
        <v>279</v>
      </c>
      <c r="C119" s="1" t="s">
        <v>111</v>
      </c>
      <c r="D119" s="1" t="s">
        <v>280</v>
      </c>
      <c r="E119" s="1" t="s">
        <v>281</v>
      </c>
      <c r="F119" s="1"/>
      <c r="H119" s="1" t="s">
        <v>307</v>
      </c>
      <c r="I119" s="1" t="s">
        <v>307</v>
      </c>
      <c r="J119" s="1" t="s">
        <v>283</v>
      </c>
      <c r="K119" s="1" t="s">
        <v>284</v>
      </c>
      <c r="M119" s="11">
        <f>3+58/60</f>
        <v>3.9666666666666668</v>
      </c>
      <c r="N119" s="1">
        <f>1108</f>
        <v>1108</v>
      </c>
      <c r="O119" s="7">
        <f t="shared" si="2"/>
        <v>279.32773109243698</v>
      </c>
    </row>
    <row r="120" spans="1:15" x14ac:dyDescent="0.4">
      <c r="A120" s="1">
        <v>119</v>
      </c>
      <c r="B120" s="1" t="s">
        <v>279</v>
      </c>
      <c r="C120" s="1" t="s">
        <v>111</v>
      </c>
      <c r="D120" s="1" t="s">
        <v>280</v>
      </c>
      <c r="E120" s="1" t="s">
        <v>281</v>
      </c>
      <c r="F120" s="1"/>
      <c r="H120" s="1" t="s">
        <v>308</v>
      </c>
      <c r="I120" s="1" t="s">
        <v>308</v>
      </c>
      <c r="J120" s="1" t="s">
        <v>283</v>
      </c>
      <c r="K120" s="1" t="s">
        <v>284</v>
      </c>
      <c r="M120" s="11">
        <f>16+9/60</f>
        <v>16.149999999999999</v>
      </c>
      <c r="N120" s="1">
        <v>4812</v>
      </c>
      <c r="O120" s="7">
        <f t="shared" si="2"/>
        <v>297.95665634674924</v>
      </c>
    </row>
    <row r="121" spans="1:15" x14ac:dyDescent="0.4">
      <c r="A121" s="1">
        <v>120</v>
      </c>
      <c r="B121" s="1" t="s">
        <v>279</v>
      </c>
      <c r="C121" s="1" t="s">
        <v>111</v>
      </c>
      <c r="D121" s="1" t="s">
        <v>280</v>
      </c>
      <c r="E121" s="1" t="s">
        <v>281</v>
      </c>
      <c r="F121" s="1"/>
      <c r="H121" s="1" t="s">
        <v>309</v>
      </c>
      <c r="I121" s="1" t="s">
        <v>310</v>
      </c>
      <c r="J121" s="1" t="s">
        <v>283</v>
      </c>
      <c r="K121" s="1" t="s">
        <v>284</v>
      </c>
      <c r="M121" s="11">
        <f>5+20/60</f>
        <v>5.333333333333333</v>
      </c>
      <c r="N121" s="1">
        <f>1619</f>
        <v>1619</v>
      </c>
      <c r="O121" s="7">
        <f t="shared" si="2"/>
        <v>303.5625</v>
      </c>
    </row>
    <row r="122" spans="1:15" x14ac:dyDescent="0.4">
      <c r="A122" s="1">
        <v>121</v>
      </c>
      <c r="B122" s="1" t="s">
        <v>279</v>
      </c>
      <c r="C122" s="1" t="s">
        <v>111</v>
      </c>
      <c r="D122" s="1" t="s">
        <v>280</v>
      </c>
      <c r="E122" s="1" t="s">
        <v>281</v>
      </c>
      <c r="F122" s="1"/>
      <c r="H122" s="9" t="s">
        <v>311</v>
      </c>
      <c r="I122" s="1" t="s">
        <v>311</v>
      </c>
      <c r="J122" s="1" t="s">
        <v>283</v>
      </c>
      <c r="K122" s="1" t="s">
        <v>284</v>
      </c>
      <c r="M122" s="11">
        <f>4+16/60</f>
        <v>4.2666666666666666</v>
      </c>
      <c r="N122" s="1">
        <f>1167</f>
        <v>1167</v>
      </c>
      <c r="O122" s="7">
        <f t="shared" si="2"/>
        <v>273.515625</v>
      </c>
    </row>
    <row r="123" spans="1:15" x14ac:dyDescent="0.4">
      <c r="A123" s="1">
        <v>122</v>
      </c>
      <c r="B123" s="1" t="s">
        <v>279</v>
      </c>
      <c r="C123" s="1" t="s">
        <v>111</v>
      </c>
      <c r="D123" s="1" t="s">
        <v>280</v>
      </c>
      <c r="E123" s="1" t="s">
        <v>281</v>
      </c>
      <c r="F123" s="1"/>
      <c r="H123" s="9" t="s">
        <v>312</v>
      </c>
      <c r="I123" s="1" t="s">
        <v>312</v>
      </c>
      <c r="J123" s="1" t="s">
        <v>283</v>
      </c>
      <c r="K123" s="1" t="s">
        <v>284</v>
      </c>
      <c r="M123" s="11">
        <f>5+33/60</f>
        <v>5.55</v>
      </c>
      <c r="N123" s="1">
        <f>1560</f>
        <v>1560</v>
      </c>
      <c r="O123" s="7">
        <f t="shared" si="2"/>
        <v>281.08108108108109</v>
      </c>
    </row>
    <row r="124" spans="1:15" x14ac:dyDescent="0.4">
      <c r="A124" s="1">
        <v>123</v>
      </c>
      <c r="B124" s="1" t="s">
        <v>279</v>
      </c>
      <c r="C124" s="1" t="s">
        <v>111</v>
      </c>
      <c r="D124" s="1" t="s">
        <v>280</v>
      </c>
      <c r="E124" s="1" t="s">
        <v>281</v>
      </c>
      <c r="F124" s="1"/>
      <c r="H124" s="9" t="s">
        <v>313</v>
      </c>
      <c r="I124" s="1" t="s">
        <v>313</v>
      </c>
      <c r="J124" s="1" t="s">
        <v>283</v>
      </c>
      <c r="K124" s="1" t="s">
        <v>284</v>
      </c>
      <c r="M124" s="11">
        <f>9+32/60</f>
        <v>9.5333333333333332</v>
      </c>
      <c r="N124" s="1">
        <f>2696</f>
        <v>2696</v>
      </c>
      <c r="O124" s="7">
        <f t="shared" si="2"/>
        <v>282.79720279720283</v>
      </c>
    </row>
    <row r="125" spans="1:15" x14ac:dyDescent="0.4">
      <c r="A125" s="1">
        <v>124</v>
      </c>
      <c r="B125" s="1" t="s">
        <v>279</v>
      </c>
      <c r="C125" s="1" t="s">
        <v>111</v>
      </c>
      <c r="D125" s="1" t="s">
        <v>280</v>
      </c>
      <c r="E125" s="1" t="s">
        <v>281</v>
      </c>
      <c r="F125" s="1"/>
      <c r="H125" s="9" t="s">
        <v>314</v>
      </c>
      <c r="I125" s="1" t="s">
        <v>314</v>
      </c>
      <c r="J125" s="1" t="s">
        <v>283</v>
      </c>
      <c r="K125" s="1" t="s">
        <v>284</v>
      </c>
      <c r="M125" s="11">
        <f>5+17/60</f>
        <v>5.2833333333333332</v>
      </c>
      <c r="N125" s="1">
        <f>1471</f>
        <v>1471</v>
      </c>
      <c r="O125" s="7">
        <f t="shared" si="2"/>
        <v>278.42271293375393</v>
      </c>
    </row>
    <row r="126" spans="1:15" x14ac:dyDescent="0.4">
      <c r="A126" s="1">
        <v>125</v>
      </c>
      <c r="B126" s="1" t="s">
        <v>279</v>
      </c>
      <c r="C126" s="1" t="s">
        <v>111</v>
      </c>
      <c r="D126" s="1" t="s">
        <v>280</v>
      </c>
      <c r="E126" s="1" t="s">
        <v>281</v>
      </c>
      <c r="F126" s="1"/>
      <c r="H126" s="9" t="s">
        <v>315</v>
      </c>
      <c r="I126" s="1" t="s">
        <v>315</v>
      </c>
      <c r="J126" s="1" t="s">
        <v>283</v>
      </c>
      <c r="K126" s="1" t="s">
        <v>284</v>
      </c>
      <c r="M126" s="11">
        <f>7+1/70</f>
        <v>7.0142857142857142</v>
      </c>
      <c r="N126" s="1">
        <f>1905</f>
        <v>1905</v>
      </c>
      <c r="O126" s="7">
        <f t="shared" si="2"/>
        <v>271.58859470468434</v>
      </c>
    </row>
    <row r="127" spans="1:15" x14ac:dyDescent="0.4">
      <c r="A127" s="1">
        <v>126</v>
      </c>
      <c r="B127" s="1" t="s">
        <v>279</v>
      </c>
      <c r="C127" s="1" t="s">
        <v>111</v>
      </c>
      <c r="D127" s="1" t="s">
        <v>280</v>
      </c>
      <c r="E127" s="1" t="s">
        <v>281</v>
      </c>
      <c r="F127" s="1"/>
      <c r="H127" s="9" t="s">
        <v>316</v>
      </c>
      <c r="I127" s="1" t="s">
        <v>316</v>
      </c>
      <c r="J127" s="1" t="s">
        <v>283</v>
      </c>
      <c r="K127" s="1" t="s">
        <v>284</v>
      </c>
      <c r="M127" s="11">
        <f>6</f>
        <v>6</v>
      </c>
      <c r="N127" s="1">
        <f>1641</f>
        <v>1641</v>
      </c>
      <c r="O127" s="7">
        <f t="shared" si="2"/>
        <v>273.5</v>
      </c>
    </row>
    <row r="128" spans="1:15" x14ac:dyDescent="0.4">
      <c r="A128" s="1">
        <v>127</v>
      </c>
      <c r="B128" s="1" t="s">
        <v>279</v>
      </c>
      <c r="C128" s="1" t="s">
        <v>111</v>
      </c>
      <c r="D128" s="1" t="s">
        <v>280</v>
      </c>
      <c r="E128" s="1" t="s">
        <v>281</v>
      </c>
      <c r="F128" s="1"/>
      <c r="H128" s="9" t="s">
        <v>317</v>
      </c>
      <c r="I128" s="1" t="s">
        <v>317</v>
      </c>
      <c r="J128" s="1" t="s">
        <v>283</v>
      </c>
      <c r="K128" s="1" t="s">
        <v>284</v>
      </c>
      <c r="M128" s="11">
        <f>4+24/60</f>
        <v>4.4000000000000004</v>
      </c>
      <c r="N128" s="1">
        <f>1152</f>
        <v>1152</v>
      </c>
      <c r="O128" s="7">
        <f t="shared" si="2"/>
        <v>261.81818181818181</v>
      </c>
    </row>
    <row r="129" spans="1:15" x14ac:dyDescent="0.4">
      <c r="A129" s="1">
        <v>128</v>
      </c>
      <c r="B129" s="1" t="s">
        <v>279</v>
      </c>
      <c r="C129" s="1" t="s">
        <v>111</v>
      </c>
      <c r="D129" s="1" t="s">
        <v>280</v>
      </c>
      <c r="E129" s="1" t="s">
        <v>281</v>
      </c>
      <c r="F129" s="1"/>
      <c r="H129" s="9" t="s">
        <v>318</v>
      </c>
      <c r="I129" s="1" t="s">
        <v>318</v>
      </c>
      <c r="J129" s="1" t="s">
        <v>283</v>
      </c>
      <c r="K129" s="1" t="s">
        <v>284</v>
      </c>
      <c r="M129" s="11">
        <f>3+33/60</f>
        <v>3.55</v>
      </c>
      <c r="N129" s="1">
        <v>965</v>
      </c>
      <c r="O129" s="7">
        <f t="shared" si="2"/>
        <v>271.83098591549299</v>
      </c>
    </row>
    <row r="130" spans="1:15" x14ac:dyDescent="0.4">
      <c r="A130" s="1">
        <v>129</v>
      </c>
      <c r="B130" s="1" t="s">
        <v>279</v>
      </c>
      <c r="C130" s="1" t="s">
        <v>111</v>
      </c>
      <c r="D130" s="1" t="s">
        <v>280</v>
      </c>
      <c r="E130" s="1" t="s">
        <v>281</v>
      </c>
      <c r="F130" s="1"/>
      <c r="H130" s="9" t="s">
        <v>319</v>
      </c>
      <c r="I130" s="1" t="s">
        <v>319</v>
      </c>
      <c r="J130" s="1" t="s">
        <v>283</v>
      </c>
      <c r="K130" s="1" t="s">
        <v>284</v>
      </c>
      <c r="M130" s="11">
        <f>3+47/60</f>
        <v>3.7833333333333332</v>
      </c>
      <c r="N130" s="1">
        <v>1014</v>
      </c>
      <c r="O130" s="7">
        <f t="shared" ref="O130:O193" si="3">N130/M130</f>
        <v>268.01762114537445</v>
      </c>
    </row>
    <row r="131" spans="1:15" x14ac:dyDescent="0.4">
      <c r="A131" s="1">
        <v>130</v>
      </c>
      <c r="B131" s="1" t="s">
        <v>279</v>
      </c>
      <c r="C131" s="1" t="s">
        <v>111</v>
      </c>
      <c r="D131" s="1" t="s">
        <v>280</v>
      </c>
      <c r="E131" s="1" t="s">
        <v>281</v>
      </c>
      <c r="F131" s="1"/>
      <c r="H131" s="9" t="s">
        <v>320</v>
      </c>
      <c r="I131" s="1" t="s">
        <v>320</v>
      </c>
      <c r="J131" s="1" t="s">
        <v>283</v>
      </c>
      <c r="K131" s="1" t="s">
        <v>284</v>
      </c>
      <c r="M131" s="11">
        <f>3+19/60</f>
        <v>3.3166666666666664</v>
      </c>
      <c r="N131" s="1">
        <v>874</v>
      </c>
      <c r="O131" s="7">
        <f t="shared" si="3"/>
        <v>263.5175879396985</v>
      </c>
    </row>
    <row r="132" spans="1:15" x14ac:dyDescent="0.4">
      <c r="A132" s="1">
        <v>131</v>
      </c>
      <c r="B132" s="1" t="s">
        <v>279</v>
      </c>
      <c r="C132" s="1" t="s">
        <v>111</v>
      </c>
      <c r="D132" s="1" t="s">
        <v>280</v>
      </c>
      <c r="E132" s="1" t="s">
        <v>281</v>
      </c>
      <c r="F132" s="1"/>
      <c r="H132" s="9" t="s">
        <v>321</v>
      </c>
      <c r="I132" s="1" t="s">
        <v>321</v>
      </c>
      <c r="J132" s="1" t="s">
        <v>283</v>
      </c>
      <c r="K132" s="1" t="s">
        <v>284</v>
      </c>
      <c r="M132" s="11">
        <f>3+17/60</f>
        <v>3.2833333333333332</v>
      </c>
      <c r="N132" s="1">
        <f>872</f>
        <v>872</v>
      </c>
      <c r="O132" s="7">
        <f t="shared" si="3"/>
        <v>265.58375634517768</v>
      </c>
    </row>
    <row r="133" spans="1:15" x14ac:dyDescent="0.4">
      <c r="A133" s="1">
        <v>132</v>
      </c>
      <c r="B133" s="1" t="s">
        <v>279</v>
      </c>
      <c r="C133" s="1" t="s">
        <v>111</v>
      </c>
      <c r="D133" s="1" t="s">
        <v>280</v>
      </c>
      <c r="E133" s="1" t="s">
        <v>281</v>
      </c>
      <c r="F133" s="1"/>
      <c r="H133" s="9" t="s">
        <v>322</v>
      </c>
      <c r="I133" s="1" t="s">
        <v>322</v>
      </c>
      <c r="J133" s="1" t="s">
        <v>283</v>
      </c>
      <c r="K133" s="1" t="s">
        <v>284</v>
      </c>
      <c r="M133" s="11">
        <f>4+22/60</f>
        <v>4.3666666666666663</v>
      </c>
      <c r="N133" s="1">
        <f>1177</f>
        <v>1177</v>
      </c>
      <c r="O133" s="7">
        <f t="shared" si="3"/>
        <v>269.54198473282446</v>
      </c>
    </row>
    <row r="134" spans="1:15" x14ac:dyDescent="0.4">
      <c r="A134" s="1">
        <v>133</v>
      </c>
      <c r="B134" s="1" t="s">
        <v>279</v>
      </c>
      <c r="C134" s="1" t="s">
        <v>111</v>
      </c>
      <c r="D134" s="1" t="s">
        <v>280</v>
      </c>
      <c r="E134" s="1" t="s">
        <v>281</v>
      </c>
      <c r="F134" s="1"/>
      <c r="H134" s="9" t="s">
        <v>323</v>
      </c>
      <c r="I134" s="1" t="s">
        <v>323</v>
      </c>
      <c r="J134" s="1" t="s">
        <v>283</v>
      </c>
      <c r="K134" s="1" t="s">
        <v>284</v>
      </c>
      <c r="M134" s="11">
        <f>2+12/60</f>
        <v>2.2000000000000002</v>
      </c>
      <c r="N134" s="1">
        <f>586</f>
        <v>586</v>
      </c>
      <c r="O134" s="7">
        <f t="shared" si="3"/>
        <v>266.36363636363632</v>
      </c>
    </row>
    <row r="135" spans="1:15" x14ac:dyDescent="0.4">
      <c r="A135" s="1">
        <v>134</v>
      </c>
      <c r="B135" s="1" t="s">
        <v>279</v>
      </c>
      <c r="C135" s="1" t="s">
        <v>111</v>
      </c>
      <c r="D135" s="1" t="s">
        <v>280</v>
      </c>
      <c r="E135" s="1" t="s">
        <v>281</v>
      </c>
      <c r="F135" s="1"/>
      <c r="H135" s="9" t="s">
        <v>324</v>
      </c>
      <c r="I135" s="1" t="s">
        <v>324</v>
      </c>
      <c r="J135" s="1" t="s">
        <v>283</v>
      </c>
      <c r="K135" s="1" t="s">
        <v>284</v>
      </c>
      <c r="M135" s="11">
        <f>2+29/60</f>
        <v>2.4833333333333334</v>
      </c>
      <c r="N135" s="1">
        <v>621</v>
      </c>
      <c r="O135" s="7">
        <f t="shared" si="3"/>
        <v>250.06711409395973</v>
      </c>
    </row>
    <row r="136" spans="1:15" x14ac:dyDescent="0.4">
      <c r="A136" s="1">
        <v>135</v>
      </c>
      <c r="B136" s="1" t="s">
        <v>279</v>
      </c>
      <c r="C136" s="1" t="s">
        <v>111</v>
      </c>
      <c r="D136" s="1" t="s">
        <v>280</v>
      </c>
      <c r="E136" s="1" t="s">
        <v>281</v>
      </c>
      <c r="F136" s="1"/>
      <c r="H136" s="9" t="s">
        <v>325</v>
      </c>
      <c r="I136" s="1" t="s">
        <v>325</v>
      </c>
      <c r="J136" s="1" t="s">
        <v>283</v>
      </c>
      <c r="K136" s="1" t="s">
        <v>284</v>
      </c>
      <c r="M136" s="11">
        <f>3+54/60</f>
        <v>3.9</v>
      </c>
      <c r="N136" s="1">
        <v>1074</v>
      </c>
      <c r="O136" s="7">
        <f t="shared" si="3"/>
        <v>275.38461538461542</v>
      </c>
    </row>
    <row r="137" spans="1:15" x14ac:dyDescent="0.4">
      <c r="A137" s="1">
        <v>136</v>
      </c>
      <c r="B137" s="1" t="s">
        <v>279</v>
      </c>
      <c r="C137" s="1" t="s">
        <v>111</v>
      </c>
      <c r="D137" s="1" t="s">
        <v>280</v>
      </c>
      <c r="E137" s="1" t="s">
        <v>281</v>
      </c>
      <c r="F137" s="1"/>
      <c r="H137" s="9" t="s">
        <v>326</v>
      </c>
      <c r="I137" s="1" t="s">
        <v>326</v>
      </c>
      <c r="J137" s="1" t="s">
        <v>283</v>
      </c>
      <c r="K137" s="1" t="s">
        <v>284</v>
      </c>
      <c r="M137" s="11">
        <f>3+32/60</f>
        <v>3.5333333333333332</v>
      </c>
      <c r="N137" s="1">
        <f>965</f>
        <v>965</v>
      </c>
      <c r="O137" s="7">
        <f t="shared" si="3"/>
        <v>273.11320754716979</v>
      </c>
    </row>
    <row r="138" spans="1:15" x14ac:dyDescent="0.4">
      <c r="A138" s="1">
        <v>137</v>
      </c>
      <c r="B138" s="1" t="s">
        <v>279</v>
      </c>
      <c r="C138" s="1" t="s">
        <v>111</v>
      </c>
      <c r="D138" s="1" t="s">
        <v>280</v>
      </c>
      <c r="E138" s="1" t="s">
        <v>281</v>
      </c>
      <c r="F138" s="1"/>
      <c r="H138" s="9" t="s">
        <v>327</v>
      </c>
      <c r="I138" s="1" t="s">
        <v>327</v>
      </c>
      <c r="J138" s="1" t="s">
        <v>283</v>
      </c>
      <c r="K138" s="1" t="s">
        <v>284</v>
      </c>
      <c r="M138" s="11">
        <f>3+24/60</f>
        <v>3.4</v>
      </c>
      <c r="N138" s="1">
        <v>929</v>
      </c>
      <c r="O138" s="7">
        <f t="shared" si="3"/>
        <v>273.23529411764707</v>
      </c>
    </row>
    <row r="139" spans="1:15" x14ac:dyDescent="0.4">
      <c r="A139" s="1">
        <v>138</v>
      </c>
      <c r="B139" s="1" t="s">
        <v>279</v>
      </c>
      <c r="C139" s="1" t="s">
        <v>111</v>
      </c>
      <c r="D139" s="1" t="s">
        <v>280</v>
      </c>
      <c r="E139" s="1" t="s">
        <v>281</v>
      </c>
      <c r="F139" s="1"/>
      <c r="H139" s="9" t="s">
        <v>328</v>
      </c>
      <c r="I139" s="1" t="s">
        <v>328</v>
      </c>
      <c r="J139" s="1" t="s">
        <v>283</v>
      </c>
      <c r="K139" s="1" t="s">
        <v>284</v>
      </c>
      <c r="M139" s="11">
        <f>3+28/60</f>
        <v>3.4666666666666668</v>
      </c>
      <c r="N139" s="1">
        <v>953</v>
      </c>
      <c r="O139" s="7">
        <f t="shared" si="3"/>
        <v>274.90384615384613</v>
      </c>
    </row>
    <row r="140" spans="1:15" x14ac:dyDescent="0.4">
      <c r="A140" s="1">
        <v>139</v>
      </c>
      <c r="B140" s="1" t="s">
        <v>279</v>
      </c>
      <c r="C140" s="1" t="s">
        <v>111</v>
      </c>
      <c r="D140" s="1" t="s">
        <v>280</v>
      </c>
      <c r="E140" s="1" t="s">
        <v>281</v>
      </c>
      <c r="F140" s="1"/>
      <c r="H140" s="9" t="s">
        <v>329</v>
      </c>
      <c r="I140" s="9" t="s">
        <v>329</v>
      </c>
      <c r="J140" s="1" t="s">
        <v>283</v>
      </c>
      <c r="K140" s="1" t="s">
        <v>284</v>
      </c>
      <c r="M140" s="11">
        <f>3+16/60</f>
        <v>3.2666666666666666</v>
      </c>
      <c r="N140" s="1">
        <f>893</f>
        <v>893</v>
      </c>
      <c r="O140" s="7">
        <f t="shared" si="3"/>
        <v>273.36734693877554</v>
      </c>
    </row>
    <row r="141" spans="1:15" x14ac:dyDescent="0.4">
      <c r="A141" s="1">
        <v>140</v>
      </c>
      <c r="B141" s="1" t="s">
        <v>279</v>
      </c>
      <c r="C141" s="1" t="s">
        <v>111</v>
      </c>
      <c r="D141" s="1" t="s">
        <v>280</v>
      </c>
      <c r="E141" s="1" t="s">
        <v>281</v>
      </c>
      <c r="F141" s="1"/>
      <c r="H141" s="9" t="s">
        <v>330</v>
      </c>
      <c r="I141" s="1" t="s">
        <v>330</v>
      </c>
      <c r="J141" s="1" t="s">
        <v>283</v>
      </c>
      <c r="K141" s="1" t="s">
        <v>284</v>
      </c>
      <c r="M141" s="11">
        <f>4+15/60</f>
        <v>4.25</v>
      </c>
      <c r="N141" s="1">
        <f>1171</f>
        <v>1171</v>
      </c>
      <c r="O141" s="7">
        <f t="shared" si="3"/>
        <v>275.52941176470586</v>
      </c>
    </row>
    <row r="142" spans="1:15" x14ac:dyDescent="0.4">
      <c r="A142" s="1">
        <v>141</v>
      </c>
      <c r="B142" s="1" t="s">
        <v>279</v>
      </c>
      <c r="C142" s="1" t="s">
        <v>111</v>
      </c>
      <c r="D142" s="1" t="s">
        <v>280</v>
      </c>
      <c r="E142" s="1" t="s">
        <v>281</v>
      </c>
      <c r="F142" s="1"/>
      <c r="H142" s="9" t="s">
        <v>331</v>
      </c>
      <c r="I142" s="1" t="s">
        <v>331</v>
      </c>
      <c r="J142" s="1" t="s">
        <v>283</v>
      </c>
      <c r="K142" s="1" t="s">
        <v>284</v>
      </c>
      <c r="M142" s="11">
        <f>4+3/60</f>
        <v>4.05</v>
      </c>
      <c r="N142" s="1">
        <f>1120</f>
        <v>1120</v>
      </c>
      <c r="O142" s="7">
        <f t="shared" si="3"/>
        <v>276.54320987654324</v>
      </c>
    </row>
    <row r="143" spans="1:15" x14ac:dyDescent="0.4">
      <c r="A143" s="1">
        <v>142</v>
      </c>
      <c r="B143" s="1" t="s">
        <v>279</v>
      </c>
      <c r="C143" s="1" t="s">
        <v>111</v>
      </c>
      <c r="D143" s="1" t="s">
        <v>280</v>
      </c>
      <c r="E143" s="1" t="s">
        <v>281</v>
      </c>
      <c r="F143" s="1"/>
      <c r="H143" s="9" t="s">
        <v>332</v>
      </c>
      <c r="I143" s="1" t="s">
        <v>332</v>
      </c>
      <c r="J143" s="1" t="s">
        <v>283</v>
      </c>
      <c r="K143" s="1" t="s">
        <v>284</v>
      </c>
      <c r="M143" s="11">
        <f>4+16/60</f>
        <v>4.2666666666666666</v>
      </c>
      <c r="N143" s="1">
        <f>1139</f>
        <v>1139</v>
      </c>
      <c r="O143" s="7">
        <f t="shared" si="3"/>
        <v>266.953125</v>
      </c>
    </row>
    <row r="144" spans="1:15" x14ac:dyDescent="0.4">
      <c r="A144" s="1">
        <v>143</v>
      </c>
      <c r="B144" s="1" t="s">
        <v>279</v>
      </c>
      <c r="C144" s="1" t="s">
        <v>111</v>
      </c>
      <c r="D144" s="1" t="s">
        <v>280</v>
      </c>
      <c r="E144" s="1" t="s">
        <v>281</v>
      </c>
      <c r="F144" s="1"/>
      <c r="H144" s="9" t="s">
        <v>333</v>
      </c>
      <c r="I144" s="1" t="s">
        <v>333</v>
      </c>
      <c r="J144" s="1" t="s">
        <v>283</v>
      </c>
      <c r="K144" s="1" t="s">
        <v>284</v>
      </c>
      <c r="M144" s="11">
        <f>2+54/60</f>
        <v>2.9</v>
      </c>
      <c r="N144" s="1">
        <f>789</f>
        <v>789</v>
      </c>
      <c r="O144" s="7">
        <f t="shared" si="3"/>
        <v>272.06896551724139</v>
      </c>
    </row>
    <row r="145" spans="1:15" x14ac:dyDescent="0.4">
      <c r="A145" s="1">
        <v>144</v>
      </c>
      <c r="B145" s="1" t="s">
        <v>279</v>
      </c>
      <c r="C145" s="1" t="s">
        <v>111</v>
      </c>
      <c r="D145" s="1" t="s">
        <v>280</v>
      </c>
      <c r="E145" s="1" t="s">
        <v>281</v>
      </c>
      <c r="F145" s="1"/>
      <c r="H145" s="9" t="s">
        <v>334</v>
      </c>
      <c r="I145" s="1" t="s">
        <v>334</v>
      </c>
      <c r="J145" s="1" t="s">
        <v>283</v>
      </c>
      <c r="K145" s="1" t="s">
        <v>284</v>
      </c>
      <c r="M145" s="11">
        <f>3+7/60</f>
        <v>3.1166666666666667</v>
      </c>
      <c r="N145" s="1">
        <f>845</f>
        <v>845</v>
      </c>
      <c r="O145" s="7">
        <f t="shared" si="3"/>
        <v>271.12299465240642</v>
      </c>
    </row>
    <row r="146" spans="1:15" x14ac:dyDescent="0.4">
      <c r="A146" s="1">
        <v>145</v>
      </c>
      <c r="B146" s="1" t="s">
        <v>279</v>
      </c>
      <c r="C146" s="1" t="s">
        <v>111</v>
      </c>
      <c r="D146" s="1" t="s">
        <v>280</v>
      </c>
      <c r="E146" s="1" t="s">
        <v>281</v>
      </c>
      <c r="F146" s="1"/>
      <c r="H146" s="9" t="s">
        <v>335</v>
      </c>
      <c r="I146" s="1" t="s">
        <v>335</v>
      </c>
      <c r="J146" s="1" t="s">
        <v>283</v>
      </c>
      <c r="K146" s="1" t="s">
        <v>284</v>
      </c>
      <c r="M146" s="11">
        <f>3+23/60</f>
        <v>3.3833333333333333</v>
      </c>
      <c r="N146" s="1">
        <v>899</v>
      </c>
      <c r="O146" s="7">
        <f t="shared" si="3"/>
        <v>265.71428571428572</v>
      </c>
    </row>
    <row r="147" spans="1:15" x14ac:dyDescent="0.4">
      <c r="A147" s="1">
        <v>146</v>
      </c>
      <c r="B147" s="1" t="s">
        <v>279</v>
      </c>
      <c r="C147" s="1" t="s">
        <v>111</v>
      </c>
      <c r="D147" s="1" t="s">
        <v>280</v>
      </c>
      <c r="E147" s="1" t="s">
        <v>281</v>
      </c>
      <c r="F147" s="1"/>
      <c r="H147" s="9" t="s">
        <v>336</v>
      </c>
      <c r="I147" s="1" t="s">
        <v>336</v>
      </c>
      <c r="J147" s="1" t="s">
        <v>283</v>
      </c>
      <c r="K147" s="1" t="s">
        <v>284</v>
      </c>
      <c r="M147" s="11">
        <f>3+34/60</f>
        <v>3.5666666666666664</v>
      </c>
      <c r="N147" s="1">
        <v>950</v>
      </c>
      <c r="O147" s="7">
        <f t="shared" si="3"/>
        <v>266.35514018691589</v>
      </c>
    </row>
    <row r="148" spans="1:15" x14ac:dyDescent="0.4">
      <c r="A148" s="1">
        <v>147</v>
      </c>
      <c r="B148" s="1" t="s">
        <v>279</v>
      </c>
      <c r="C148" s="1" t="s">
        <v>111</v>
      </c>
      <c r="D148" s="1" t="s">
        <v>280</v>
      </c>
      <c r="E148" s="1" t="s">
        <v>281</v>
      </c>
      <c r="F148" s="1"/>
      <c r="H148" s="9" t="s">
        <v>337</v>
      </c>
      <c r="I148" s="1" t="s">
        <v>337</v>
      </c>
      <c r="J148" s="1" t="s">
        <v>283</v>
      </c>
      <c r="K148" s="1" t="s">
        <v>284</v>
      </c>
      <c r="M148" s="11">
        <f>3+24/60</f>
        <v>3.4</v>
      </c>
      <c r="N148" s="1">
        <v>900</v>
      </c>
      <c r="O148" s="7">
        <f t="shared" si="3"/>
        <v>264.70588235294116</v>
      </c>
    </row>
    <row r="149" spans="1:15" x14ac:dyDescent="0.4">
      <c r="A149" s="1">
        <v>148</v>
      </c>
      <c r="B149" s="1" t="s">
        <v>279</v>
      </c>
      <c r="C149" s="1" t="s">
        <v>111</v>
      </c>
      <c r="D149" s="1" t="s">
        <v>280</v>
      </c>
      <c r="E149" s="1" t="s">
        <v>281</v>
      </c>
      <c r="F149" s="1"/>
      <c r="H149" s="9" t="s">
        <v>338</v>
      </c>
      <c r="I149" s="1" t="s">
        <v>338</v>
      </c>
      <c r="J149" s="1" t="s">
        <v>283</v>
      </c>
      <c r="K149" s="1" t="s">
        <v>284</v>
      </c>
      <c r="M149" s="11">
        <f>2+9/60</f>
        <v>2.15</v>
      </c>
      <c r="N149" s="1">
        <f>586</f>
        <v>586</v>
      </c>
      <c r="O149" s="7">
        <f t="shared" si="3"/>
        <v>272.55813953488371</v>
      </c>
    </row>
    <row r="150" spans="1:15" x14ac:dyDescent="0.4">
      <c r="A150" s="1">
        <v>149</v>
      </c>
      <c r="B150" s="1" t="s">
        <v>279</v>
      </c>
      <c r="C150" s="1" t="s">
        <v>111</v>
      </c>
      <c r="D150" s="1" t="s">
        <v>280</v>
      </c>
      <c r="E150" s="1" t="s">
        <v>281</v>
      </c>
      <c r="F150" s="1"/>
      <c r="H150" s="9" t="s">
        <v>339</v>
      </c>
      <c r="I150" s="1" t="s">
        <v>339</v>
      </c>
      <c r="J150" s="1" t="s">
        <v>283</v>
      </c>
      <c r="K150" s="1" t="s">
        <v>284</v>
      </c>
      <c r="M150" s="11">
        <f>2+35/60</f>
        <v>2.5833333333333335</v>
      </c>
      <c r="N150" s="1">
        <f>654</f>
        <v>654</v>
      </c>
      <c r="O150" s="7">
        <f t="shared" si="3"/>
        <v>253.16129032258064</v>
      </c>
    </row>
    <row r="151" spans="1:15" x14ac:dyDescent="0.4">
      <c r="A151" s="1">
        <v>150</v>
      </c>
      <c r="B151" s="1" t="s">
        <v>279</v>
      </c>
      <c r="C151" s="1" t="s">
        <v>111</v>
      </c>
      <c r="D151" s="1" t="s">
        <v>280</v>
      </c>
      <c r="E151" s="1" t="s">
        <v>281</v>
      </c>
      <c r="F151" s="1"/>
      <c r="H151" s="9" t="s">
        <v>340</v>
      </c>
      <c r="I151" s="1" t="s">
        <v>340</v>
      </c>
      <c r="J151" s="1" t="s">
        <v>283</v>
      </c>
      <c r="K151" s="1" t="s">
        <v>284</v>
      </c>
      <c r="M151" s="11">
        <f>8+58/60</f>
        <v>8.9666666666666668</v>
      </c>
      <c r="N151" s="1">
        <f>2375</f>
        <v>2375</v>
      </c>
      <c r="O151" s="7">
        <f t="shared" si="3"/>
        <v>264.86988847583643</v>
      </c>
    </row>
    <row r="152" spans="1:15" x14ac:dyDescent="0.4">
      <c r="A152" s="1">
        <v>151</v>
      </c>
      <c r="B152" s="1" t="s">
        <v>279</v>
      </c>
      <c r="C152" s="1" t="s">
        <v>111</v>
      </c>
      <c r="D152" s="1" t="s">
        <v>280</v>
      </c>
      <c r="E152" s="1" t="s">
        <v>281</v>
      </c>
      <c r="F152" s="1"/>
      <c r="H152" s="9" t="s">
        <v>341</v>
      </c>
      <c r="I152" s="1" t="s">
        <v>341</v>
      </c>
      <c r="J152" s="1" t="s">
        <v>283</v>
      </c>
      <c r="K152" s="1" t="s">
        <v>284</v>
      </c>
      <c r="M152" s="11">
        <f>4+52/60</f>
        <v>4.8666666666666671</v>
      </c>
      <c r="N152" s="1">
        <f>1330</f>
        <v>1330</v>
      </c>
      <c r="O152" s="7">
        <f t="shared" si="3"/>
        <v>273.28767123287668</v>
      </c>
    </row>
    <row r="153" spans="1:15" x14ac:dyDescent="0.4">
      <c r="A153" s="1">
        <v>152</v>
      </c>
      <c r="B153" s="1" t="s">
        <v>279</v>
      </c>
      <c r="C153" s="1" t="s">
        <v>111</v>
      </c>
      <c r="D153" s="1" t="s">
        <v>280</v>
      </c>
      <c r="E153" s="1" t="s">
        <v>281</v>
      </c>
      <c r="F153" s="1"/>
      <c r="H153" s="1" t="s">
        <v>342</v>
      </c>
      <c r="I153" s="1" t="s">
        <v>343</v>
      </c>
      <c r="J153" s="1" t="s">
        <v>283</v>
      </c>
      <c r="K153" s="1" t="s">
        <v>284</v>
      </c>
      <c r="M153" s="11">
        <f>14+37/60</f>
        <v>14.616666666666667</v>
      </c>
      <c r="N153" s="1">
        <f>4086</f>
        <v>4086</v>
      </c>
      <c r="O153" s="7">
        <f t="shared" si="3"/>
        <v>279.54389965792473</v>
      </c>
    </row>
    <row r="154" spans="1:15" x14ac:dyDescent="0.4">
      <c r="A154" s="1">
        <v>153</v>
      </c>
      <c r="B154" s="1" t="s">
        <v>279</v>
      </c>
      <c r="C154" s="1" t="s">
        <v>111</v>
      </c>
      <c r="D154" s="1" t="s">
        <v>280</v>
      </c>
      <c r="E154" s="1" t="s">
        <v>281</v>
      </c>
      <c r="F154" s="1"/>
      <c r="H154" s="9" t="s">
        <v>344</v>
      </c>
      <c r="I154" s="1" t="s">
        <v>344</v>
      </c>
      <c r="J154" s="1" t="s">
        <v>283</v>
      </c>
      <c r="K154" s="1" t="s">
        <v>284</v>
      </c>
      <c r="M154" s="11">
        <f>7+41/60</f>
        <v>7.6833333333333336</v>
      </c>
      <c r="N154" s="1">
        <f>2126</f>
        <v>2126</v>
      </c>
      <c r="O154" s="7">
        <f t="shared" si="3"/>
        <v>276.70281995661605</v>
      </c>
    </row>
    <row r="155" spans="1:15" x14ac:dyDescent="0.4">
      <c r="A155" s="1">
        <v>154</v>
      </c>
      <c r="B155" s="1" t="s">
        <v>279</v>
      </c>
      <c r="C155" s="1" t="s">
        <v>111</v>
      </c>
      <c r="D155" s="1" t="s">
        <v>280</v>
      </c>
      <c r="E155" s="1" t="s">
        <v>281</v>
      </c>
      <c r="F155" s="1"/>
      <c r="H155" s="1" t="s">
        <v>345</v>
      </c>
      <c r="I155" s="1" t="s">
        <v>345</v>
      </c>
      <c r="J155" s="1" t="s">
        <v>283</v>
      </c>
      <c r="K155" s="1" t="s">
        <v>284</v>
      </c>
      <c r="M155" s="11">
        <f>16+30/60</f>
        <v>16.5</v>
      </c>
      <c r="N155" s="1">
        <v>4861</v>
      </c>
      <c r="O155" s="7">
        <f t="shared" si="3"/>
        <v>294.60606060606062</v>
      </c>
    </row>
    <row r="156" spans="1:15" x14ac:dyDescent="0.4">
      <c r="A156" s="1">
        <v>155</v>
      </c>
      <c r="B156" s="1" t="s">
        <v>279</v>
      </c>
      <c r="C156" s="1" t="s">
        <v>111</v>
      </c>
      <c r="D156" s="1" t="s">
        <v>280</v>
      </c>
      <c r="E156" s="1" t="s">
        <v>281</v>
      </c>
      <c r="F156" s="1"/>
      <c r="H156" s="1" t="s">
        <v>346</v>
      </c>
      <c r="I156" s="1" t="s">
        <v>347</v>
      </c>
      <c r="J156" s="1" t="s">
        <v>283</v>
      </c>
      <c r="K156" s="1" t="s">
        <v>284</v>
      </c>
      <c r="M156" s="11">
        <f>5+6/60</f>
        <v>5.0999999999999996</v>
      </c>
      <c r="N156" s="1">
        <f>1479</f>
        <v>1479</v>
      </c>
      <c r="O156" s="7">
        <f t="shared" si="3"/>
        <v>290</v>
      </c>
    </row>
    <row r="157" spans="1:15" x14ac:dyDescent="0.4">
      <c r="A157" s="1">
        <v>156</v>
      </c>
      <c r="B157" s="1" t="s">
        <v>279</v>
      </c>
      <c r="C157" s="1" t="s">
        <v>111</v>
      </c>
      <c r="D157" s="1" t="s">
        <v>280</v>
      </c>
      <c r="E157" s="1" t="s">
        <v>281</v>
      </c>
      <c r="F157" s="1"/>
      <c r="H157" s="1" t="s">
        <v>348</v>
      </c>
      <c r="I157" s="1" t="s">
        <v>348</v>
      </c>
      <c r="J157" s="1" t="s">
        <v>283</v>
      </c>
      <c r="K157" s="1" t="s">
        <v>284</v>
      </c>
      <c r="M157" s="11">
        <f>13+4/60</f>
        <v>13.066666666666666</v>
      </c>
      <c r="N157" s="1">
        <f>3770</f>
        <v>3770</v>
      </c>
      <c r="O157" s="7">
        <f t="shared" si="3"/>
        <v>288.5204081632653</v>
      </c>
    </row>
    <row r="158" spans="1:15" x14ac:dyDescent="0.4">
      <c r="A158" s="1">
        <v>157</v>
      </c>
      <c r="B158" s="1" t="s">
        <v>279</v>
      </c>
      <c r="C158" s="1" t="s">
        <v>111</v>
      </c>
      <c r="D158" s="1" t="s">
        <v>280</v>
      </c>
      <c r="E158" s="1" t="s">
        <v>281</v>
      </c>
      <c r="F158" s="1"/>
      <c r="H158" s="9" t="s">
        <v>349</v>
      </c>
      <c r="I158" s="1" t="s">
        <v>350</v>
      </c>
      <c r="J158" s="1" t="s">
        <v>283</v>
      </c>
      <c r="K158" s="1" t="s">
        <v>284</v>
      </c>
      <c r="M158" s="11">
        <f>15+52/60</f>
        <v>15.866666666666667</v>
      </c>
      <c r="N158" s="1">
        <f>4501</f>
        <v>4501</v>
      </c>
      <c r="O158" s="7">
        <f t="shared" si="3"/>
        <v>283.6764705882353</v>
      </c>
    </row>
    <row r="159" spans="1:15" x14ac:dyDescent="0.4">
      <c r="A159" s="1">
        <v>158</v>
      </c>
      <c r="B159" s="1" t="s">
        <v>279</v>
      </c>
      <c r="C159" s="1" t="s">
        <v>111</v>
      </c>
      <c r="D159" s="1" t="s">
        <v>280</v>
      </c>
      <c r="E159" s="1" t="s">
        <v>281</v>
      </c>
      <c r="F159" s="1"/>
      <c r="H159" s="1" t="s">
        <v>351</v>
      </c>
      <c r="I159" s="1" t="s">
        <v>351</v>
      </c>
      <c r="J159" s="1" t="s">
        <v>283</v>
      </c>
      <c r="K159" s="1" t="s">
        <v>284</v>
      </c>
      <c r="M159" s="11">
        <f>12+24/60</f>
        <v>12.4</v>
      </c>
      <c r="N159" s="1">
        <f>3571</f>
        <v>3571</v>
      </c>
      <c r="O159" s="7">
        <f t="shared" si="3"/>
        <v>287.98387096774195</v>
      </c>
    </row>
    <row r="160" spans="1:15" x14ac:dyDescent="0.4">
      <c r="A160" s="1">
        <v>159</v>
      </c>
      <c r="B160" s="1" t="s">
        <v>279</v>
      </c>
      <c r="C160" s="1" t="s">
        <v>111</v>
      </c>
      <c r="D160" s="1" t="s">
        <v>280</v>
      </c>
      <c r="E160" s="1" t="s">
        <v>281</v>
      </c>
      <c r="F160" s="1"/>
      <c r="H160" s="1" t="s">
        <v>352</v>
      </c>
      <c r="I160" s="1" t="s">
        <v>352</v>
      </c>
      <c r="J160" s="1" t="s">
        <v>283</v>
      </c>
      <c r="K160" s="1" t="s">
        <v>284</v>
      </c>
      <c r="M160" s="11">
        <f>14+43/60</f>
        <v>14.716666666666667</v>
      </c>
      <c r="N160" s="1">
        <f>4284</f>
        <v>4284</v>
      </c>
      <c r="O160" s="7">
        <f t="shared" si="3"/>
        <v>291.09852774631935</v>
      </c>
    </row>
    <row r="161" spans="1:15" x14ac:dyDescent="0.4">
      <c r="A161" s="1">
        <v>160</v>
      </c>
      <c r="B161" s="1" t="s">
        <v>279</v>
      </c>
      <c r="C161" s="1" t="s">
        <v>111</v>
      </c>
      <c r="D161" s="1" t="s">
        <v>280</v>
      </c>
      <c r="E161" s="1" t="s">
        <v>281</v>
      </c>
      <c r="F161" s="1"/>
      <c r="H161" s="1" t="s">
        <v>353</v>
      </c>
      <c r="I161" s="1" t="s">
        <v>353</v>
      </c>
      <c r="J161" s="1" t="s">
        <v>283</v>
      </c>
      <c r="K161" s="1" t="s">
        <v>284</v>
      </c>
      <c r="M161" s="11">
        <f>14+35/60</f>
        <v>14.583333333333334</v>
      </c>
      <c r="N161" s="1">
        <f>4178</f>
        <v>4178</v>
      </c>
      <c r="O161" s="7">
        <f t="shared" si="3"/>
        <v>286.49142857142857</v>
      </c>
    </row>
    <row r="162" spans="1:15" x14ac:dyDescent="0.4">
      <c r="A162" s="1">
        <v>161</v>
      </c>
      <c r="B162" s="1" t="s">
        <v>279</v>
      </c>
      <c r="C162" s="1" t="s">
        <v>111</v>
      </c>
      <c r="D162" s="1" t="s">
        <v>280</v>
      </c>
      <c r="E162" s="1" t="s">
        <v>281</v>
      </c>
      <c r="F162" s="1"/>
      <c r="H162" s="1" t="s">
        <v>354</v>
      </c>
      <c r="I162" s="1" t="s">
        <v>354</v>
      </c>
      <c r="J162" s="1" t="s">
        <v>283</v>
      </c>
      <c r="K162" s="1" t="s">
        <v>284</v>
      </c>
      <c r="M162" s="11">
        <f>15+35/60</f>
        <v>15.583333333333334</v>
      </c>
      <c r="N162" s="1">
        <f>4427</f>
        <v>4427</v>
      </c>
      <c r="O162" s="7">
        <f t="shared" si="3"/>
        <v>284.08556149732618</v>
      </c>
    </row>
    <row r="163" spans="1:15" x14ac:dyDescent="0.4">
      <c r="A163" s="1">
        <v>162</v>
      </c>
      <c r="B163" s="1" t="s">
        <v>279</v>
      </c>
      <c r="C163" s="1" t="s">
        <v>111</v>
      </c>
      <c r="D163" s="1" t="s">
        <v>280</v>
      </c>
      <c r="E163" s="1" t="s">
        <v>281</v>
      </c>
      <c r="F163" s="1"/>
      <c r="H163" s="1" t="s">
        <v>355</v>
      </c>
      <c r="I163" s="1" t="s">
        <v>355</v>
      </c>
      <c r="J163" s="1" t="s">
        <v>283</v>
      </c>
      <c r="K163" s="1" t="s">
        <v>284</v>
      </c>
      <c r="M163" s="11">
        <f>4+44/60</f>
        <v>4.7333333333333334</v>
      </c>
      <c r="N163" s="1">
        <f>1299</f>
        <v>1299</v>
      </c>
      <c r="O163" s="7">
        <f t="shared" si="3"/>
        <v>274.43661971830983</v>
      </c>
    </row>
    <row r="164" spans="1:15" x14ac:dyDescent="0.4">
      <c r="A164" s="1">
        <v>163</v>
      </c>
      <c r="B164" s="1" t="s">
        <v>279</v>
      </c>
      <c r="C164" s="1" t="s">
        <v>111</v>
      </c>
      <c r="D164" s="1" t="s">
        <v>280</v>
      </c>
      <c r="E164" s="1" t="s">
        <v>281</v>
      </c>
      <c r="F164" s="1"/>
      <c r="H164" s="1" t="s">
        <v>356</v>
      </c>
      <c r="I164" s="1" t="s">
        <v>356</v>
      </c>
      <c r="J164" s="1" t="s">
        <v>283</v>
      </c>
      <c r="K164" s="1" t="s">
        <v>284</v>
      </c>
      <c r="M164" s="11">
        <f>15+25/60</f>
        <v>15.416666666666666</v>
      </c>
      <c r="N164" s="1">
        <f>4478</f>
        <v>4478</v>
      </c>
      <c r="O164" s="7">
        <f t="shared" si="3"/>
        <v>290.46486486486486</v>
      </c>
    </row>
    <row r="165" spans="1:15" x14ac:dyDescent="0.4">
      <c r="A165" s="1">
        <v>164</v>
      </c>
      <c r="B165" s="1" t="s">
        <v>279</v>
      </c>
      <c r="C165" s="1" t="s">
        <v>111</v>
      </c>
      <c r="D165" s="1" t="s">
        <v>280</v>
      </c>
      <c r="E165" s="1" t="s">
        <v>281</v>
      </c>
      <c r="F165" s="1"/>
      <c r="H165" s="9" t="s">
        <v>357</v>
      </c>
      <c r="I165" s="1" t="s">
        <v>357</v>
      </c>
      <c r="J165" s="1" t="s">
        <v>283</v>
      </c>
      <c r="K165" s="1" t="s">
        <v>284</v>
      </c>
      <c r="M165" s="11">
        <f>12+29/60</f>
        <v>12.483333333333333</v>
      </c>
      <c r="N165" s="1">
        <f>3451</f>
        <v>3451</v>
      </c>
      <c r="O165" s="7">
        <f t="shared" si="3"/>
        <v>276.44859813084116</v>
      </c>
    </row>
    <row r="166" spans="1:15" x14ac:dyDescent="0.4">
      <c r="A166" s="1">
        <v>165</v>
      </c>
      <c r="B166" s="1" t="s">
        <v>279</v>
      </c>
      <c r="C166" s="1" t="s">
        <v>111</v>
      </c>
      <c r="D166" s="1" t="s">
        <v>280</v>
      </c>
      <c r="E166" s="1" t="s">
        <v>281</v>
      </c>
      <c r="F166" s="1"/>
      <c r="H166" s="1" t="s">
        <v>358</v>
      </c>
      <c r="I166" s="1" t="s">
        <v>358</v>
      </c>
      <c r="J166" s="1" t="s">
        <v>283</v>
      </c>
      <c r="K166" s="1" t="s">
        <v>284</v>
      </c>
      <c r="M166" s="11">
        <f>10+33/60</f>
        <v>10.55</v>
      </c>
      <c r="N166" s="1">
        <v>3101</v>
      </c>
      <c r="O166" s="7">
        <f t="shared" si="3"/>
        <v>293.93364928909949</v>
      </c>
    </row>
    <row r="167" spans="1:15" x14ac:dyDescent="0.4">
      <c r="A167" s="1">
        <v>166</v>
      </c>
      <c r="B167" s="1" t="s">
        <v>279</v>
      </c>
      <c r="C167" s="1" t="s">
        <v>111</v>
      </c>
      <c r="D167" s="1" t="s">
        <v>280</v>
      </c>
      <c r="E167" s="1" t="s">
        <v>281</v>
      </c>
      <c r="F167" s="1"/>
      <c r="H167" s="9" t="s">
        <v>359</v>
      </c>
      <c r="I167" s="1" t="s">
        <v>359</v>
      </c>
      <c r="J167" s="1" t="s">
        <v>283</v>
      </c>
      <c r="K167" s="1" t="s">
        <v>284</v>
      </c>
      <c r="M167" s="11">
        <f>8+11/60</f>
        <v>8.1833333333333336</v>
      </c>
      <c r="N167" s="1">
        <f>2295</f>
        <v>2295</v>
      </c>
      <c r="O167" s="7">
        <f t="shared" si="3"/>
        <v>280.44806517311611</v>
      </c>
    </row>
    <row r="168" spans="1:15" x14ac:dyDescent="0.4">
      <c r="A168" s="1">
        <v>167</v>
      </c>
      <c r="B168" s="1" t="s">
        <v>279</v>
      </c>
      <c r="C168" s="1" t="s">
        <v>111</v>
      </c>
      <c r="D168" s="1" t="s">
        <v>280</v>
      </c>
      <c r="E168" s="1" t="s">
        <v>281</v>
      </c>
      <c r="F168" s="1"/>
      <c r="H168" s="9" t="s">
        <v>360</v>
      </c>
      <c r="I168" s="1" t="s">
        <v>360</v>
      </c>
      <c r="J168" s="1" t="s">
        <v>283</v>
      </c>
      <c r="K168" s="1" t="s">
        <v>284</v>
      </c>
      <c r="M168" s="11">
        <f>7+33/60</f>
        <v>7.55</v>
      </c>
      <c r="N168" s="1">
        <f>2049</f>
        <v>2049</v>
      </c>
      <c r="O168" s="7">
        <f t="shared" si="3"/>
        <v>271.39072847682121</v>
      </c>
    </row>
    <row r="169" spans="1:15" x14ac:dyDescent="0.4">
      <c r="A169" s="1">
        <v>168</v>
      </c>
      <c r="B169" s="1" t="s">
        <v>279</v>
      </c>
      <c r="C169" s="1" t="s">
        <v>111</v>
      </c>
      <c r="D169" s="1" t="s">
        <v>280</v>
      </c>
      <c r="E169" s="1" t="s">
        <v>281</v>
      </c>
      <c r="F169" s="1"/>
      <c r="H169" s="9" t="s">
        <v>361</v>
      </c>
      <c r="I169" s="1" t="s">
        <v>361</v>
      </c>
      <c r="J169" s="1" t="s">
        <v>283</v>
      </c>
      <c r="K169" s="1" t="s">
        <v>284</v>
      </c>
      <c r="M169" s="11">
        <f>15+37/60</f>
        <v>15.616666666666667</v>
      </c>
      <c r="N169" s="1">
        <v>4246</v>
      </c>
      <c r="O169" s="7">
        <f t="shared" si="3"/>
        <v>271.88900747065099</v>
      </c>
    </row>
    <row r="170" spans="1:15" x14ac:dyDescent="0.4">
      <c r="A170" s="1">
        <v>169</v>
      </c>
      <c r="B170" s="1" t="s">
        <v>279</v>
      </c>
      <c r="C170" s="1" t="s">
        <v>111</v>
      </c>
      <c r="D170" s="1" t="s">
        <v>280</v>
      </c>
      <c r="E170" s="1" t="s">
        <v>281</v>
      </c>
      <c r="F170" s="1"/>
      <c r="H170" s="9" t="s">
        <v>362</v>
      </c>
      <c r="I170" s="1" t="s">
        <v>362</v>
      </c>
      <c r="J170" s="1" t="s">
        <v>283</v>
      </c>
      <c r="K170" s="1" t="s">
        <v>284</v>
      </c>
      <c r="M170" s="11">
        <f>12+28/60</f>
        <v>12.466666666666667</v>
      </c>
      <c r="N170" s="1">
        <f>3419</f>
        <v>3419</v>
      </c>
      <c r="O170" s="7">
        <f t="shared" si="3"/>
        <v>274.25133689839572</v>
      </c>
    </row>
    <row r="171" spans="1:15" x14ac:dyDescent="0.4">
      <c r="A171" s="1">
        <v>170</v>
      </c>
      <c r="B171" s="1" t="s">
        <v>279</v>
      </c>
      <c r="C171" s="1" t="s">
        <v>111</v>
      </c>
      <c r="D171" s="1" t="s">
        <v>280</v>
      </c>
      <c r="E171" s="1" t="s">
        <v>281</v>
      </c>
      <c r="F171" s="1"/>
      <c r="H171" s="9" t="s">
        <v>363</v>
      </c>
      <c r="I171" s="1" t="s">
        <v>363</v>
      </c>
      <c r="J171" s="1" t="s">
        <v>283</v>
      </c>
      <c r="K171" s="1" t="s">
        <v>284</v>
      </c>
      <c r="M171" s="11">
        <f>14+41/60</f>
        <v>14.683333333333334</v>
      </c>
      <c r="N171" s="1">
        <f>4089</f>
        <v>4089</v>
      </c>
      <c r="O171" s="7">
        <f t="shared" si="3"/>
        <v>278.47900113507376</v>
      </c>
    </row>
    <row r="172" spans="1:15" x14ac:dyDescent="0.4">
      <c r="A172" s="1">
        <v>171</v>
      </c>
      <c r="B172" s="1" t="s">
        <v>279</v>
      </c>
      <c r="C172" s="1" t="s">
        <v>111</v>
      </c>
      <c r="D172" s="1" t="s">
        <v>280</v>
      </c>
      <c r="E172" s="1" t="s">
        <v>281</v>
      </c>
      <c r="F172" s="1"/>
      <c r="H172" s="9" t="s">
        <v>364</v>
      </c>
      <c r="I172" s="1" t="s">
        <v>364</v>
      </c>
      <c r="J172" s="1" t="s">
        <v>283</v>
      </c>
      <c r="K172" s="1" t="s">
        <v>284</v>
      </c>
      <c r="M172" s="11">
        <f>10+54/60</f>
        <v>10.9</v>
      </c>
      <c r="N172" s="1">
        <f>3110</f>
        <v>3110</v>
      </c>
      <c r="O172" s="7">
        <f t="shared" si="3"/>
        <v>285.32110091743118</v>
      </c>
    </row>
    <row r="173" spans="1:15" x14ac:dyDescent="0.4">
      <c r="A173" s="1">
        <v>172</v>
      </c>
      <c r="B173" s="1" t="s">
        <v>279</v>
      </c>
      <c r="C173" s="1" t="s">
        <v>111</v>
      </c>
      <c r="D173" s="1" t="s">
        <v>280</v>
      </c>
      <c r="E173" s="1" t="s">
        <v>281</v>
      </c>
      <c r="F173" s="1"/>
      <c r="H173" s="9" t="s">
        <v>365</v>
      </c>
      <c r="I173" s="1" t="s">
        <v>365</v>
      </c>
      <c r="J173" s="1" t="s">
        <v>283</v>
      </c>
      <c r="K173" s="1" t="s">
        <v>284</v>
      </c>
      <c r="M173" s="11">
        <f>10+9/60</f>
        <v>10.15</v>
      </c>
      <c r="N173" s="1">
        <f>2841</f>
        <v>2841</v>
      </c>
      <c r="O173" s="7">
        <f t="shared" si="3"/>
        <v>279.90147783251228</v>
      </c>
    </row>
    <row r="174" spans="1:15" x14ac:dyDescent="0.4">
      <c r="A174" s="1">
        <v>173</v>
      </c>
      <c r="B174" s="1" t="s">
        <v>279</v>
      </c>
      <c r="C174" s="1" t="s">
        <v>111</v>
      </c>
      <c r="D174" s="1" t="s">
        <v>280</v>
      </c>
      <c r="E174" s="1" t="s">
        <v>281</v>
      </c>
      <c r="F174" s="1"/>
      <c r="H174" s="9" t="s">
        <v>366</v>
      </c>
      <c r="I174" s="1" t="s">
        <v>366</v>
      </c>
      <c r="J174" s="1" t="s">
        <v>283</v>
      </c>
      <c r="K174" s="1" t="s">
        <v>284</v>
      </c>
      <c r="M174" s="11">
        <f>9+13/60</f>
        <v>9.2166666666666668</v>
      </c>
      <c r="N174" s="1">
        <f>2510</f>
        <v>2510</v>
      </c>
      <c r="O174" s="7">
        <f t="shared" si="3"/>
        <v>272.33273056057868</v>
      </c>
    </row>
    <row r="175" spans="1:15" x14ac:dyDescent="0.4">
      <c r="A175" s="1">
        <v>174</v>
      </c>
      <c r="B175" s="1" t="s">
        <v>279</v>
      </c>
      <c r="C175" s="1" t="s">
        <v>111</v>
      </c>
      <c r="D175" s="1" t="s">
        <v>280</v>
      </c>
      <c r="E175" s="1" t="s">
        <v>281</v>
      </c>
      <c r="F175" s="1"/>
      <c r="H175" s="9" t="s">
        <v>367</v>
      </c>
      <c r="I175" s="1" t="s">
        <v>367</v>
      </c>
      <c r="J175" s="1" t="s">
        <v>283</v>
      </c>
      <c r="K175" s="1" t="s">
        <v>284</v>
      </c>
      <c r="M175" s="11">
        <f>14+38/60</f>
        <v>14.633333333333333</v>
      </c>
      <c r="N175" s="1">
        <v>4126</v>
      </c>
      <c r="O175" s="7">
        <f t="shared" si="3"/>
        <v>281.95899772209566</v>
      </c>
    </row>
    <row r="176" spans="1:15" x14ac:dyDescent="0.4">
      <c r="A176" s="1">
        <v>175</v>
      </c>
      <c r="B176" s="1" t="s">
        <v>279</v>
      </c>
      <c r="C176" s="1" t="s">
        <v>111</v>
      </c>
      <c r="D176" s="1" t="s">
        <v>280</v>
      </c>
      <c r="E176" s="1" t="s">
        <v>281</v>
      </c>
      <c r="F176" s="1"/>
      <c r="H176" s="1" t="s">
        <v>368</v>
      </c>
      <c r="I176" s="1" t="s">
        <v>368</v>
      </c>
      <c r="J176" s="1" t="s">
        <v>283</v>
      </c>
      <c r="K176" s="1" t="s">
        <v>284</v>
      </c>
      <c r="M176" s="11">
        <f>9+44/60</f>
        <v>9.7333333333333325</v>
      </c>
      <c r="N176" s="1">
        <f>2699</f>
        <v>2699</v>
      </c>
      <c r="O176" s="7">
        <f t="shared" si="3"/>
        <v>277.29452054794524</v>
      </c>
    </row>
    <row r="177" spans="1:15" x14ac:dyDescent="0.4">
      <c r="A177" s="1">
        <v>176</v>
      </c>
      <c r="B177" s="1" t="s">
        <v>279</v>
      </c>
      <c r="C177" s="1" t="s">
        <v>111</v>
      </c>
      <c r="D177" s="1" t="s">
        <v>280</v>
      </c>
      <c r="E177" s="1" t="s">
        <v>281</v>
      </c>
      <c r="F177" s="1"/>
      <c r="H177" s="1" t="s">
        <v>369</v>
      </c>
      <c r="I177" s="1" t="s">
        <v>369</v>
      </c>
      <c r="J177" s="1" t="s">
        <v>283</v>
      </c>
      <c r="K177" s="1" t="s">
        <v>284</v>
      </c>
      <c r="M177" s="11">
        <f>22+19/60</f>
        <v>22.316666666666666</v>
      </c>
      <c r="N177" s="1">
        <f>6464</f>
        <v>6464</v>
      </c>
      <c r="O177" s="7">
        <f t="shared" si="3"/>
        <v>289.64899178491413</v>
      </c>
    </row>
    <row r="178" spans="1:15" x14ac:dyDescent="0.4">
      <c r="A178" s="1">
        <v>177</v>
      </c>
      <c r="B178" s="1" t="s">
        <v>279</v>
      </c>
      <c r="C178" s="1" t="s">
        <v>111</v>
      </c>
      <c r="D178" s="2" t="s">
        <v>112</v>
      </c>
      <c r="E178" s="1" t="s">
        <v>281</v>
      </c>
      <c r="F178" s="1"/>
      <c r="H178" s="1" t="s">
        <v>370</v>
      </c>
      <c r="I178" s="1" t="s">
        <v>370</v>
      </c>
      <c r="J178" s="1" t="s">
        <v>283</v>
      </c>
      <c r="K178" s="1" t="s">
        <v>284</v>
      </c>
      <c r="M178" s="11">
        <f>11+20/60</f>
        <v>11.333333333333334</v>
      </c>
      <c r="N178" s="1">
        <f>3231</f>
        <v>3231</v>
      </c>
      <c r="O178" s="7">
        <f t="shared" si="3"/>
        <v>285.08823529411762</v>
      </c>
    </row>
    <row r="179" spans="1:15" x14ac:dyDescent="0.4">
      <c r="A179" s="1">
        <v>178</v>
      </c>
      <c r="B179" s="1" t="s">
        <v>279</v>
      </c>
      <c r="C179" s="1" t="s">
        <v>111</v>
      </c>
      <c r="D179" s="1" t="s">
        <v>280</v>
      </c>
      <c r="E179" s="1" t="s">
        <v>281</v>
      </c>
      <c r="F179" s="1"/>
      <c r="H179" s="1" t="s">
        <v>371</v>
      </c>
      <c r="I179" s="1" t="s">
        <v>371</v>
      </c>
      <c r="J179" s="1" t="s">
        <v>283</v>
      </c>
      <c r="K179" s="1" t="s">
        <v>284</v>
      </c>
      <c r="M179" s="11">
        <f>9+14/60</f>
        <v>9.2333333333333325</v>
      </c>
      <c r="N179" s="1">
        <f>2646</f>
        <v>2646</v>
      </c>
      <c r="O179" s="7">
        <f t="shared" si="3"/>
        <v>286.57039711191339</v>
      </c>
    </row>
    <row r="180" spans="1:15" x14ac:dyDescent="0.4">
      <c r="A180" s="1">
        <v>179</v>
      </c>
      <c r="B180" s="1" t="s">
        <v>279</v>
      </c>
      <c r="C180" s="1" t="s">
        <v>111</v>
      </c>
      <c r="D180" s="1" t="s">
        <v>280</v>
      </c>
      <c r="E180" s="1" t="s">
        <v>281</v>
      </c>
      <c r="F180" s="1"/>
      <c r="H180" s="9" t="s">
        <v>372</v>
      </c>
      <c r="I180" s="1" t="s">
        <v>372</v>
      </c>
      <c r="J180" s="1" t="s">
        <v>283</v>
      </c>
      <c r="K180" s="1" t="s">
        <v>284</v>
      </c>
      <c r="M180" s="11">
        <f>5+13/60</f>
        <v>5.2166666666666668</v>
      </c>
      <c r="N180" s="1">
        <f>1429</f>
        <v>1429</v>
      </c>
      <c r="O180" s="7">
        <f t="shared" si="3"/>
        <v>273.92971246006391</v>
      </c>
    </row>
    <row r="181" spans="1:15" x14ac:dyDescent="0.4">
      <c r="A181" s="1">
        <v>180</v>
      </c>
      <c r="B181" s="1" t="s">
        <v>279</v>
      </c>
      <c r="C181" s="1" t="s">
        <v>111</v>
      </c>
      <c r="D181" s="1" t="s">
        <v>280</v>
      </c>
      <c r="E181" s="1" t="s">
        <v>281</v>
      </c>
      <c r="F181" s="1"/>
      <c r="H181" s="9" t="s">
        <v>373</v>
      </c>
      <c r="I181" s="1" t="s">
        <v>373</v>
      </c>
      <c r="J181" s="1" t="s">
        <v>283</v>
      </c>
      <c r="K181" s="1" t="s">
        <v>284</v>
      </c>
      <c r="M181" s="11">
        <f>11+45/60</f>
        <v>11.75</v>
      </c>
      <c r="N181" s="1">
        <f>3351</f>
        <v>3351</v>
      </c>
      <c r="O181" s="7">
        <f t="shared" si="3"/>
        <v>285.19148936170211</v>
      </c>
    </row>
    <row r="182" spans="1:15" x14ac:dyDescent="0.4">
      <c r="A182" s="1">
        <v>181</v>
      </c>
      <c r="B182" s="1" t="s">
        <v>279</v>
      </c>
      <c r="C182" s="1" t="s">
        <v>111</v>
      </c>
      <c r="D182" s="1" t="s">
        <v>280</v>
      </c>
      <c r="E182" s="1" t="s">
        <v>281</v>
      </c>
      <c r="F182" s="1"/>
      <c r="H182" s="9" t="s">
        <v>374</v>
      </c>
      <c r="I182" s="1" t="s">
        <v>374</v>
      </c>
      <c r="J182" s="1" t="s">
        <v>283</v>
      </c>
      <c r="K182" s="1" t="s">
        <v>284</v>
      </c>
      <c r="M182" s="11">
        <f>6+53/60</f>
        <v>6.8833333333333329</v>
      </c>
      <c r="N182" s="1">
        <f>1897</f>
        <v>1897</v>
      </c>
      <c r="O182" s="7">
        <f t="shared" si="3"/>
        <v>275.59322033898309</v>
      </c>
    </row>
    <row r="183" spans="1:15" x14ac:dyDescent="0.4">
      <c r="A183" s="1">
        <v>182</v>
      </c>
      <c r="B183" s="1" t="s">
        <v>279</v>
      </c>
      <c r="C183" s="1" t="s">
        <v>111</v>
      </c>
      <c r="D183" s="1" t="s">
        <v>280</v>
      </c>
      <c r="E183" s="1" t="s">
        <v>281</v>
      </c>
      <c r="F183" s="1"/>
      <c r="H183" s="9" t="s">
        <v>375</v>
      </c>
      <c r="I183" s="1" t="s">
        <v>375</v>
      </c>
      <c r="J183" s="1" t="s">
        <v>283</v>
      </c>
      <c r="K183" s="1" t="s">
        <v>284</v>
      </c>
      <c r="M183" s="11">
        <f>14+20/60</f>
        <v>14.333333333333334</v>
      </c>
      <c r="N183" s="1">
        <f>4044</f>
        <v>4044</v>
      </c>
      <c r="O183" s="7">
        <f t="shared" si="3"/>
        <v>282.1395348837209</v>
      </c>
    </row>
    <row r="184" spans="1:15" x14ac:dyDescent="0.4">
      <c r="A184" s="1">
        <v>183</v>
      </c>
      <c r="B184" s="1" t="s">
        <v>279</v>
      </c>
      <c r="C184" s="1" t="s">
        <v>111</v>
      </c>
      <c r="D184" s="1" t="s">
        <v>280</v>
      </c>
      <c r="E184" s="1" t="s">
        <v>281</v>
      </c>
      <c r="F184" s="1"/>
      <c r="H184" s="1" t="s">
        <v>376</v>
      </c>
      <c r="I184" s="1" t="s">
        <v>376</v>
      </c>
      <c r="J184" s="1" t="s">
        <v>283</v>
      </c>
      <c r="K184" s="1" t="s">
        <v>284</v>
      </c>
      <c r="M184" s="11">
        <f>16+28/60</f>
        <v>16.466666666666665</v>
      </c>
      <c r="N184" s="1">
        <v>4734</v>
      </c>
      <c r="O184" s="7">
        <f t="shared" si="3"/>
        <v>287.48987854251016</v>
      </c>
    </row>
    <row r="185" spans="1:15" x14ac:dyDescent="0.4">
      <c r="A185" s="1">
        <v>184</v>
      </c>
      <c r="B185" s="1" t="s">
        <v>279</v>
      </c>
      <c r="C185" s="1" t="s">
        <v>111</v>
      </c>
      <c r="D185" s="1" t="s">
        <v>280</v>
      </c>
      <c r="E185" s="1" t="s">
        <v>281</v>
      </c>
      <c r="F185" s="1"/>
      <c r="H185" s="9" t="s">
        <v>377</v>
      </c>
      <c r="I185" s="1" t="s">
        <v>378</v>
      </c>
      <c r="J185" s="1" t="s">
        <v>283</v>
      </c>
      <c r="K185" s="1" t="s">
        <v>284</v>
      </c>
      <c r="M185" s="11">
        <f>13+21/60</f>
        <v>13.35</v>
      </c>
      <c r="N185" s="1">
        <f>3570</f>
        <v>3570</v>
      </c>
      <c r="O185" s="7">
        <f t="shared" si="3"/>
        <v>267.41573033707868</v>
      </c>
    </row>
    <row r="186" spans="1:15" x14ac:dyDescent="0.4">
      <c r="A186" s="1">
        <v>185</v>
      </c>
      <c r="B186" s="1" t="s">
        <v>279</v>
      </c>
      <c r="C186" s="1" t="s">
        <v>111</v>
      </c>
      <c r="D186" s="1" t="s">
        <v>280</v>
      </c>
      <c r="E186" s="1" t="s">
        <v>281</v>
      </c>
      <c r="F186" s="1"/>
      <c r="H186" s="9" t="s">
        <v>379</v>
      </c>
      <c r="I186" s="1" t="s">
        <v>380</v>
      </c>
      <c r="J186" s="1" t="s">
        <v>283</v>
      </c>
      <c r="K186" s="1" t="s">
        <v>284</v>
      </c>
      <c r="M186" s="11">
        <f>4+21/60</f>
        <v>4.3499999999999996</v>
      </c>
      <c r="N186" s="1">
        <f>1182</f>
        <v>1182</v>
      </c>
      <c r="O186" s="7">
        <f t="shared" si="3"/>
        <v>271.72413793103448</v>
      </c>
    </row>
    <row r="187" spans="1:15" x14ac:dyDescent="0.4">
      <c r="A187" s="1">
        <v>186</v>
      </c>
      <c r="B187" s="1" t="s">
        <v>279</v>
      </c>
      <c r="C187" s="1" t="s">
        <v>111</v>
      </c>
      <c r="D187" s="1" t="s">
        <v>280</v>
      </c>
      <c r="E187" s="1" t="s">
        <v>281</v>
      </c>
      <c r="F187" s="1"/>
      <c r="H187" s="9" t="s">
        <v>381</v>
      </c>
      <c r="I187" s="1" t="s">
        <v>382</v>
      </c>
      <c r="J187" s="1" t="s">
        <v>283</v>
      </c>
      <c r="K187" s="1" t="s">
        <v>284</v>
      </c>
      <c r="M187" s="11">
        <f>9+22/60</f>
        <v>9.3666666666666671</v>
      </c>
      <c r="N187" s="1">
        <f>2569</f>
        <v>2569</v>
      </c>
      <c r="O187" s="7">
        <f t="shared" si="3"/>
        <v>274.27046263345193</v>
      </c>
    </row>
    <row r="188" spans="1:15" x14ac:dyDescent="0.4">
      <c r="A188" s="1">
        <v>187</v>
      </c>
      <c r="B188" s="1" t="s">
        <v>279</v>
      </c>
      <c r="C188" s="1" t="s">
        <v>111</v>
      </c>
      <c r="D188" s="1" t="s">
        <v>280</v>
      </c>
      <c r="E188" s="1" t="s">
        <v>281</v>
      </c>
      <c r="F188" s="1"/>
      <c r="H188" s="9" t="s">
        <v>383</v>
      </c>
      <c r="I188" s="1" t="s">
        <v>384</v>
      </c>
      <c r="J188" s="1" t="s">
        <v>283</v>
      </c>
      <c r="K188" s="1" t="s">
        <v>284</v>
      </c>
      <c r="M188" s="11">
        <f>17+49/60</f>
        <v>17.816666666666666</v>
      </c>
      <c r="N188" s="1">
        <f>4978</f>
        <v>4978</v>
      </c>
      <c r="O188" s="7">
        <f t="shared" si="3"/>
        <v>279.40130963517305</v>
      </c>
    </row>
    <row r="189" spans="1:15" x14ac:dyDescent="0.4">
      <c r="A189" s="1">
        <v>188</v>
      </c>
      <c r="B189" s="1" t="s">
        <v>279</v>
      </c>
      <c r="C189" s="1" t="s">
        <v>111</v>
      </c>
      <c r="D189" s="1" t="s">
        <v>280</v>
      </c>
      <c r="E189" s="1" t="s">
        <v>281</v>
      </c>
      <c r="F189" s="1"/>
      <c r="H189" s="9" t="s">
        <v>385</v>
      </c>
      <c r="I189" s="1" t="s">
        <v>386</v>
      </c>
      <c r="J189" s="1" t="s">
        <v>283</v>
      </c>
      <c r="K189" s="1" t="s">
        <v>284</v>
      </c>
      <c r="M189" s="11">
        <f>11+45/60</f>
        <v>11.75</v>
      </c>
      <c r="N189" s="1">
        <f>3382</f>
        <v>3382</v>
      </c>
      <c r="O189" s="7">
        <f t="shared" si="3"/>
        <v>287.82978723404256</v>
      </c>
    </row>
    <row r="190" spans="1:15" x14ac:dyDescent="0.4">
      <c r="A190" s="1">
        <v>189</v>
      </c>
      <c r="B190" s="1" t="s">
        <v>279</v>
      </c>
      <c r="C190" s="1" t="s">
        <v>111</v>
      </c>
      <c r="D190" s="1" t="s">
        <v>280</v>
      </c>
      <c r="E190" s="1" t="s">
        <v>281</v>
      </c>
      <c r="F190" s="1"/>
      <c r="H190" s="1" t="s">
        <v>387</v>
      </c>
      <c r="I190" s="1" t="s">
        <v>387</v>
      </c>
      <c r="J190" s="1" t="s">
        <v>283</v>
      </c>
      <c r="K190" s="1" t="s">
        <v>284</v>
      </c>
      <c r="M190" s="11">
        <f>4+29/60</f>
        <v>4.4833333333333334</v>
      </c>
      <c r="N190" s="1">
        <f>1286</f>
        <v>1286</v>
      </c>
      <c r="O190" s="7">
        <f t="shared" si="3"/>
        <v>286.84014869888478</v>
      </c>
    </row>
    <row r="191" spans="1:15" x14ac:dyDescent="0.4">
      <c r="A191" s="1">
        <v>190</v>
      </c>
      <c r="B191" s="1" t="s">
        <v>279</v>
      </c>
      <c r="C191" s="1" t="s">
        <v>111</v>
      </c>
      <c r="D191" s="1" t="s">
        <v>280</v>
      </c>
      <c r="E191" s="1" t="s">
        <v>281</v>
      </c>
      <c r="F191" s="1"/>
      <c r="H191" s="1" t="s">
        <v>388</v>
      </c>
      <c r="I191" s="10" t="s">
        <v>388</v>
      </c>
      <c r="J191" s="1" t="s">
        <v>283</v>
      </c>
      <c r="K191" s="1" t="s">
        <v>284</v>
      </c>
      <c r="M191" s="11">
        <f>17+36/60</f>
        <v>17.600000000000001</v>
      </c>
      <c r="N191" s="1">
        <f>5024</f>
        <v>5024</v>
      </c>
      <c r="O191" s="7">
        <f t="shared" si="3"/>
        <v>285.45454545454544</v>
      </c>
    </row>
    <row r="192" spans="1:15" x14ac:dyDescent="0.4">
      <c r="A192" s="1">
        <v>191</v>
      </c>
      <c r="B192" s="1" t="s">
        <v>279</v>
      </c>
      <c r="C192" s="1" t="s">
        <v>111</v>
      </c>
      <c r="D192" s="1" t="s">
        <v>280</v>
      </c>
      <c r="E192" s="1" t="s">
        <v>281</v>
      </c>
      <c r="F192" s="1"/>
      <c r="H192" s="1" t="s">
        <v>389</v>
      </c>
      <c r="I192" s="10" t="s">
        <v>389</v>
      </c>
      <c r="J192" s="1" t="s">
        <v>283</v>
      </c>
      <c r="K192" s="1" t="s">
        <v>284</v>
      </c>
      <c r="M192" s="11">
        <f>16+38/60</f>
        <v>16.633333333333333</v>
      </c>
      <c r="N192" s="1">
        <f>4789</f>
        <v>4789</v>
      </c>
      <c r="O192" s="7">
        <f t="shared" si="3"/>
        <v>287.91583166332668</v>
      </c>
    </row>
    <row r="193" spans="1:15" x14ac:dyDescent="0.4">
      <c r="A193" s="1">
        <v>192</v>
      </c>
      <c r="B193" s="1" t="s">
        <v>279</v>
      </c>
      <c r="C193" s="1" t="s">
        <v>111</v>
      </c>
      <c r="D193" s="1" t="s">
        <v>280</v>
      </c>
      <c r="E193" s="1" t="s">
        <v>281</v>
      </c>
      <c r="F193" s="1"/>
      <c r="H193" s="1" t="s">
        <v>390</v>
      </c>
      <c r="I193" s="1" t="s">
        <v>390</v>
      </c>
      <c r="J193" s="1" t="s">
        <v>283</v>
      </c>
      <c r="K193" s="1" t="s">
        <v>284</v>
      </c>
      <c r="M193" s="11">
        <f>19+28/60</f>
        <v>19.466666666666665</v>
      </c>
      <c r="N193" s="1">
        <f>5538</f>
        <v>5538</v>
      </c>
      <c r="O193" s="7">
        <f t="shared" si="3"/>
        <v>284.48630136986304</v>
      </c>
    </row>
    <row r="194" spans="1:15" x14ac:dyDescent="0.4">
      <c r="A194" s="1">
        <v>193</v>
      </c>
      <c r="B194" s="1" t="s">
        <v>279</v>
      </c>
      <c r="C194" s="1" t="s">
        <v>111</v>
      </c>
      <c r="D194" s="1" t="s">
        <v>280</v>
      </c>
      <c r="E194" s="1" t="s">
        <v>281</v>
      </c>
      <c r="F194" s="1"/>
      <c r="H194" s="1" t="s">
        <v>391</v>
      </c>
      <c r="I194" s="1" t="s">
        <v>392</v>
      </c>
      <c r="J194" s="1" t="s">
        <v>283</v>
      </c>
      <c r="K194" s="1" t="s">
        <v>284</v>
      </c>
      <c r="M194" s="11">
        <f>20+54/60</f>
        <v>20.9</v>
      </c>
      <c r="N194" s="1">
        <f>6791</f>
        <v>6791</v>
      </c>
      <c r="O194" s="7">
        <f t="shared" ref="O194:O257" si="4">N194/M194</f>
        <v>324.9282296650718</v>
      </c>
    </row>
    <row r="195" spans="1:15" x14ac:dyDescent="0.4">
      <c r="A195" s="1">
        <v>194</v>
      </c>
      <c r="B195" s="1" t="s">
        <v>279</v>
      </c>
      <c r="C195" s="1" t="s">
        <v>111</v>
      </c>
      <c r="D195" s="1" t="s">
        <v>280</v>
      </c>
      <c r="E195" s="1" t="s">
        <v>281</v>
      </c>
      <c r="F195" s="1"/>
      <c r="H195" s="1" t="s">
        <v>393</v>
      </c>
      <c r="I195" s="10" t="s">
        <v>394</v>
      </c>
      <c r="J195" s="1" t="s">
        <v>283</v>
      </c>
      <c r="K195" s="1" t="s">
        <v>284</v>
      </c>
      <c r="M195" s="11">
        <f>15+19/60</f>
        <v>15.316666666666666</v>
      </c>
      <c r="N195" s="1">
        <f>4415</f>
        <v>4415</v>
      </c>
      <c r="O195" s="7">
        <f t="shared" si="4"/>
        <v>288.24809575625682</v>
      </c>
    </row>
    <row r="196" spans="1:15" x14ac:dyDescent="0.4">
      <c r="A196" s="1">
        <v>195</v>
      </c>
      <c r="B196" s="1" t="s">
        <v>279</v>
      </c>
      <c r="C196" s="1" t="s">
        <v>111</v>
      </c>
      <c r="D196" s="1" t="s">
        <v>280</v>
      </c>
      <c r="E196" s="1" t="s">
        <v>281</v>
      </c>
      <c r="F196" s="1"/>
      <c r="H196" s="1" t="s">
        <v>395</v>
      </c>
      <c r="I196" s="1" t="s">
        <v>395</v>
      </c>
      <c r="J196" s="1" t="s">
        <v>283</v>
      </c>
      <c r="K196" s="1" t="s">
        <v>284</v>
      </c>
      <c r="M196" s="11">
        <f>15+46/60</f>
        <v>15.766666666666667</v>
      </c>
      <c r="N196" s="1">
        <f>4571</f>
        <v>4571</v>
      </c>
      <c r="O196" s="7">
        <f t="shared" si="4"/>
        <v>289.91543340380548</v>
      </c>
    </row>
    <row r="197" spans="1:15" x14ac:dyDescent="0.4">
      <c r="A197" s="1">
        <v>196</v>
      </c>
      <c r="B197" s="1" t="s">
        <v>279</v>
      </c>
      <c r="C197" s="1" t="s">
        <v>111</v>
      </c>
      <c r="D197" s="1" t="s">
        <v>280</v>
      </c>
      <c r="E197" s="1" t="s">
        <v>281</v>
      </c>
      <c r="F197" s="1"/>
      <c r="H197" s="1" t="s">
        <v>396</v>
      </c>
      <c r="I197" s="1" t="s">
        <v>396</v>
      </c>
      <c r="J197" s="1" t="s">
        <v>283</v>
      </c>
      <c r="K197" s="1" t="s">
        <v>284</v>
      </c>
      <c r="M197" s="11">
        <f>12+46/60</f>
        <v>12.766666666666667</v>
      </c>
      <c r="N197" s="1">
        <v>3646</v>
      </c>
      <c r="O197" s="7">
        <f t="shared" si="4"/>
        <v>285.58746736292426</v>
      </c>
    </row>
    <row r="198" spans="1:15" x14ac:dyDescent="0.4">
      <c r="A198" s="1">
        <v>197</v>
      </c>
      <c r="B198" s="1" t="s">
        <v>279</v>
      </c>
      <c r="C198" s="1" t="s">
        <v>111</v>
      </c>
      <c r="D198" s="1" t="s">
        <v>280</v>
      </c>
      <c r="E198" s="1" t="s">
        <v>281</v>
      </c>
      <c r="F198" s="1"/>
      <c r="H198" s="1" t="s">
        <v>397</v>
      </c>
      <c r="I198" s="1" t="s">
        <v>398</v>
      </c>
      <c r="J198" s="1" t="s">
        <v>283</v>
      </c>
      <c r="K198" s="1" t="s">
        <v>284</v>
      </c>
      <c r="M198" s="11">
        <f>18+12/60</f>
        <v>18.2</v>
      </c>
      <c r="N198" s="1">
        <f>5344</f>
        <v>5344</v>
      </c>
      <c r="O198" s="7">
        <f t="shared" si="4"/>
        <v>293.62637362637366</v>
      </c>
    </row>
    <row r="199" spans="1:15" x14ac:dyDescent="0.4">
      <c r="A199" s="1">
        <v>198</v>
      </c>
      <c r="B199" s="1" t="s">
        <v>279</v>
      </c>
      <c r="C199" s="1" t="s">
        <v>111</v>
      </c>
      <c r="D199" s="1" t="s">
        <v>280</v>
      </c>
      <c r="E199" s="1" t="s">
        <v>281</v>
      </c>
      <c r="F199" s="1"/>
      <c r="H199" s="1" t="s">
        <v>399</v>
      </c>
      <c r="I199" s="1" t="s">
        <v>399</v>
      </c>
      <c r="J199" s="1" t="s">
        <v>283</v>
      </c>
      <c r="K199" s="1" t="s">
        <v>284</v>
      </c>
      <c r="M199" s="11">
        <f>10+26/60</f>
        <v>10.433333333333334</v>
      </c>
      <c r="N199" s="1">
        <f>2969</f>
        <v>2969</v>
      </c>
      <c r="O199" s="7">
        <f t="shared" si="4"/>
        <v>284.56869009584665</v>
      </c>
    </row>
    <row r="200" spans="1:15" x14ac:dyDescent="0.4">
      <c r="A200" s="1">
        <v>199</v>
      </c>
      <c r="B200" s="1" t="s">
        <v>279</v>
      </c>
      <c r="C200" s="1" t="s">
        <v>111</v>
      </c>
      <c r="D200" s="1" t="s">
        <v>280</v>
      </c>
      <c r="E200" s="1" t="s">
        <v>281</v>
      </c>
      <c r="F200" s="1"/>
      <c r="H200" s="1" t="s">
        <v>400</v>
      </c>
      <c r="I200" s="1" t="s">
        <v>401</v>
      </c>
      <c r="J200" s="1" t="s">
        <v>283</v>
      </c>
      <c r="K200" s="1" t="s">
        <v>284</v>
      </c>
      <c r="M200" s="11">
        <f>20+50/60</f>
        <v>20.833333333333332</v>
      </c>
      <c r="N200" s="1">
        <f>6203</f>
        <v>6203</v>
      </c>
      <c r="O200" s="7">
        <f t="shared" si="4"/>
        <v>297.74400000000003</v>
      </c>
    </row>
    <row r="201" spans="1:15" x14ac:dyDescent="0.4">
      <c r="A201" s="1">
        <v>200</v>
      </c>
      <c r="B201" s="1" t="s">
        <v>279</v>
      </c>
      <c r="C201" s="1" t="s">
        <v>111</v>
      </c>
      <c r="D201" s="1" t="s">
        <v>280</v>
      </c>
      <c r="E201" s="1" t="s">
        <v>281</v>
      </c>
      <c r="F201" s="1"/>
      <c r="H201" s="1" t="s">
        <v>402</v>
      </c>
      <c r="I201" s="10" t="s">
        <v>403</v>
      </c>
      <c r="J201" s="1" t="s">
        <v>283</v>
      </c>
      <c r="K201" s="1" t="s">
        <v>284</v>
      </c>
      <c r="M201" s="11">
        <f>11+41/60</f>
        <v>11.683333333333334</v>
      </c>
      <c r="N201" s="1">
        <v>3304</v>
      </c>
      <c r="O201" s="7">
        <f t="shared" si="4"/>
        <v>282.79600570613411</v>
      </c>
    </row>
    <row r="202" spans="1:15" x14ac:dyDescent="0.4">
      <c r="A202" s="1">
        <v>201</v>
      </c>
      <c r="B202" s="1" t="s">
        <v>279</v>
      </c>
      <c r="C202" s="1" t="s">
        <v>111</v>
      </c>
      <c r="D202" s="1" t="s">
        <v>280</v>
      </c>
      <c r="E202" s="1" t="s">
        <v>281</v>
      </c>
      <c r="F202" s="1"/>
      <c r="H202" s="1" t="s">
        <v>404</v>
      </c>
      <c r="I202" s="10" t="s">
        <v>405</v>
      </c>
      <c r="J202" s="1" t="s">
        <v>283</v>
      </c>
      <c r="K202" s="1" t="s">
        <v>284</v>
      </c>
      <c r="M202" s="11">
        <f>15+10/60</f>
        <v>15.166666666666666</v>
      </c>
      <c r="N202" s="1">
        <f>4417</f>
        <v>4417</v>
      </c>
      <c r="O202" s="7">
        <f t="shared" si="4"/>
        <v>291.23076923076923</v>
      </c>
    </row>
    <row r="203" spans="1:15" x14ac:dyDescent="0.4">
      <c r="A203" s="1">
        <v>202</v>
      </c>
      <c r="B203" s="1" t="s">
        <v>279</v>
      </c>
      <c r="C203" s="1" t="s">
        <v>111</v>
      </c>
      <c r="D203" s="1" t="s">
        <v>280</v>
      </c>
      <c r="E203" s="1" t="s">
        <v>281</v>
      </c>
      <c r="F203" s="1"/>
      <c r="H203" s="1" t="s">
        <v>406</v>
      </c>
      <c r="I203" s="10" t="s">
        <v>407</v>
      </c>
      <c r="J203" s="1" t="s">
        <v>283</v>
      </c>
      <c r="K203" s="1" t="s">
        <v>284</v>
      </c>
      <c r="M203" s="11">
        <f>9+42/60</f>
        <v>9.6999999999999993</v>
      </c>
      <c r="N203" s="1">
        <f>2757</f>
        <v>2757</v>
      </c>
      <c r="O203" s="7">
        <f t="shared" si="4"/>
        <v>284.22680412371136</v>
      </c>
    </row>
    <row r="204" spans="1:15" x14ac:dyDescent="0.4">
      <c r="A204" s="1">
        <v>203</v>
      </c>
      <c r="B204" s="1" t="s">
        <v>279</v>
      </c>
      <c r="C204" s="1" t="s">
        <v>111</v>
      </c>
      <c r="D204" s="1" t="s">
        <v>280</v>
      </c>
      <c r="E204" s="1" t="s">
        <v>281</v>
      </c>
      <c r="F204" s="1"/>
      <c r="H204" s="1" t="s">
        <v>408</v>
      </c>
      <c r="I204" s="10" t="s">
        <v>408</v>
      </c>
      <c r="J204" s="1" t="s">
        <v>283</v>
      </c>
      <c r="K204" s="1" t="s">
        <v>284</v>
      </c>
      <c r="M204" s="11">
        <f>13+42/60</f>
        <v>13.7</v>
      </c>
      <c r="N204" s="1">
        <f>3991</f>
        <v>3991</v>
      </c>
      <c r="O204" s="7">
        <f t="shared" si="4"/>
        <v>291.31386861313871</v>
      </c>
    </row>
    <row r="205" spans="1:15" x14ac:dyDescent="0.4">
      <c r="A205" s="1">
        <v>204</v>
      </c>
      <c r="B205" s="1" t="s">
        <v>279</v>
      </c>
      <c r="C205" s="1" t="s">
        <v>111</v>
      </c>
      <c r="D205" s="1" t="s">
        <v>280</v>
      </c>
      <c r="E205" s="1" t="s">
        <v>281</v>
      </c>
      <c r="F205" s="1"/>
      <c r="H205" s="1" t="s">
        <v>409</v>
      </c>
      <c r="I205" s="10" t="s">
        <v>409</v>
      </c>
      <c r="J205" s="1" t="s">
        <v>283</v>
      </c>
      <c r="K205" s="1" t="s">
        <v>284</v>
      </c>
      <c r="M205" s="11">
        <f>14+17/60</f>
        <v>14.283333333333333</v>
      </c>
      <c r="N205" s="1">
        <f>4063</f>
        <v>4063</v>
      </c>
      <c r="O205" s="7">
        <f t="shared" si="4"/>
        <v>284.45740956826137</v>
      </c>
    </row>
    <row r="206" spans="1:15" x14ac:dyDescent="0.4">
      <c r="A206" s="1">
        <v>205</v>
      </c>
      <c r="B206" s="1" t="s">
        <v>279</v>
      </c>
      <c r="C206" s="1" t="s">
        <v>111</v>
      </c>
      <c r="D206" s="1" t="s">
        <v>280</v>
      </c>
      <c r="E206" s="1" t="s">
        <v>281</v>
      </c>
      <c r="F206" s="1"/>
      <c r="H206" s="1" t="s">
        <v>410</v>
      </c>
      <c r="I206" s="10" t="s">
        <v>410</v>
      </c>
      <c r="J206" s="1" t="s">
        <v>283</v>
      </c>
      <c r="K206" s="1" t="s">
        <v>284</v>
      </c>
      <c r="M206" s="11">
        <f>15+7/60</f>
        <v>15.116666666666667</v>
      </c>
      <c r="N206" s="1">
        <f>4320</f>
        <v>4320</v>
      </c>
      <c r="O206" s="7">
        <f t="shared" si="4"/>
        <v>285.77728776185228</v>
      </c>
    </row>
    <row r="207" spans="1:15" x14ac:dyDescent="0.4">
      <c r="A207" s="1">
        <v>206</v>
      </c>
      <c r="B207" s="1" t="s">
        <v>279</v>
      </c>
      <c r="C207" s="1" t="s">
        <v>111</v>
      </c>
      <c r="D207" s="1" t="s">
        <v>280</v>
      </c>
      <c r="E207" s="1" t="s">
        <v>281</v>
      </c>
      <c r="F207" s="1"/>
      <c r="H207" s="1" t="s">
        <v>411</v>
      </c>
      <c r="I207" s="10" t="s">
        <v>411</v>
      </c>
      <c r="J207" s="1" t="s">
        <v>283</v>
      </c>
      <c r="K207" s="1" t="s">
        <v>284</v>
      </c>
      <c r="M207" s="11">
        <f>14+1/60</f>
        <v>14.016666666666667</v>
      </c>
      <c r="N207" s="1">
        <f>4002</f>
        <v>4002</v>
      </c>
      <c r="O207" s="7">
        <f t="shared" si="4"/>
        <v>285.51724137931035</v>
      </c>
    </row>
    <row r="208" spans="1:15" x14ac:dyDescent="0.4">
      <c r="A208" s="1">
        <v>207</v>
      </c>
      <c r="B208" s="1" t="s">
        <v>279</v>
      </c>
      <c r="C208" s="1" t="s">
        <v>111</v>
      </c>
      <c r="D208" s="1" t="s">
        <v>280</v>
      </c>
      <c r="E208" s="1" t="s">
        <v>281</v>
      </c>
      <c r="F208" s="1"/>
      <c r="H208" s="1" t="s">
        <v>412</v>
      </c>
      <c r="I208" s="1" t="s">
        <v>412</v>
      </c>
      <c r="J208" s="1" t="s">
        <v>283</v>
      </c>
      <c r="K208" s="1" t="s">
        <v>284</v>
      </c>
      <c r="M208" s="11">
        <f>5+21/60</f>
        <v>5.35</v>
      </c>
      <c r="N208" s="1">
        <f>1445</f>
        <v>1445</v>
      </c>
      <c r="O208" s="7">
        <f t="shared" si="4"/>
        <v>270.09345794392527</v>
      </c>
    </row>
    <row r="209" spans="1:15" x14ac:dyDescent="0.4">
      <c r="A209" s="1">
        <v>208</v>
      </c>
      <c r="B209" s="1" t="s">
        <v>279</v>
      </c>
      <c r="C209" s="1" t="s">
        <v>111</v>
      </c>
      <c r="D209" s="1" t="s">
        <v>280</v>
      </c>
      <c r="E209" s="1" t="s">
        <v>281</v>
      </c>
      <c r="F209" s="1"/>
      <c r="H209" s="1" t="s">
        <v>413</v>
      </c>
      <c r="I209" s="1" t="s">
        <v>414</v>
      </c>
      <c r="J209" s="1" t="s">
        <v>283</v>
      </c>
      <c r="K209" s="1" t="s">
        <v>284</v>
      </c>
      <c r="M209" s="11">
        <f>6+38/60</f>
        <v>6.6333333333333329</v>
      </c>
      <c r="N209" s="1">
        <f>1819</f>
        <v>1819</v>
      </c>
      <c r="O209" s="7">
        <f t="shared" si="4"/>
        <v>274.2211055276382</v>
      </c>
    </row>
    <row r="210" spans="1:15" x14ac:dyDescent="0.4">
      <c r="A210" s="1">
        <v>209</v>
      </c>
      <c r="D210" s="2" t="s">
        <v>140</v>
      </c>
      <c r="E210" s="1" t="s">
        <v>141</v>
      </c>
      <c r="H210" s="2" t="s">
        <v>415</v>
      </c>
      <c r="I210" s="1" t="s">
        <v>416</v>
      </c>
      <c r="J210" s="2" t="s">
        <v>19</v>
      </c>
      <c r="K210" s="1" t="s">
        <v>20</v>
      </c>
      <c r="M210" s="6">
        <v>1.2333333333333334</v>
      </c>
      <c r="N210" s="7">
        <v>338</v>
      </c>
      <c r="O210" s="7">
        <f t="shared" si="4"/>
        <v>274.05405405405406</v>
      </c>
    </row>
    <row r="211" spans="1:15" x14ac:dyDescent="0.4">
      <c r="A211" s="1">
        <v>210</v>
      </c>
      <c r="D211" s="2" t="s">
        <v>140</v>
      </c>
      <c r="E211" s="1" t="s">
        <v>141</v>
      </c>
      <c r="H211" s="2" t="s">
        <v>417</v>
      </c>
      <c r="I211" s="1" t="s">
        <v>418</v>
      </c>
      <c r="J211" s="2" t="s">
        <v>19</v>
      </c>
      <c r="K211" s="1" t="s">
        <v>20</v>
      </c>
      <c r="M211" s="6">
        <v>0.96666666666666667</v>
      </c>
      <c r="N211" s="7">
        <v>254</v>
      </c>
      <c r="O211" s="7">
        <f t="shared" si="4"/>
        <v>262.75862068965517</v>
      </c>
    </row>
    <row r="212" spans="1:15" x14ac:dyDescent="0.4">
      <c r="A212" s="1">
        <v>211</v>
      </c>
      <c r="D212" s="2" t="s">
        <v>140</v>
      </c>
      <c r="E212" s="1" t="s">
        <v>141</v>
      </c>
      <c r="H212" s="2" t="s">
        <v>419</v>
      </c>
      <c r="I212" s="1" t="s">
        <v>420</v>
      </c>
      <c r="J212" s="2" t="s">
        <v>19</v>
      </c>
      <c r="K212" s="1" t="s">
        <v>20</v>
      </c>
      <c r="M212" s="6">
        <v>2.6166666666666667</v>
      </c>
      <c r="N212" s="7">
        <v>703</v>
      </c>
      <c r="O212" s="7">
        <f t="shared" si="4"/>
        <v>268.66242038216558</v>
      </c>
    </row>
    <row r="213" spans="1:15" x14ac:dyDescent="0.4">
      <c r="A213" s="1">
        <v>212</v>
      </c>
      <c r="D213" s="2" t="s">
        <v>140</v>
      </c>
      <c r="E213" s="1" t="s">
        <v>141</v>
      </c>
      <c r="H213" s="2" t="s">
        <v>421</v>
      </c>
      <c r="I213" s="1" t="s">
        <v>422</v>
      </c>
      <c r="J213" s="2" t="s">
        <v>19</v>
      </c>
      <c r="K213" s="1" t="s">
        <v>20</v>
      </c>
      <c r="M213" s="6">
        <v>1.7</v>
      </c>
      <c r="N213" s="7">
        <v>458</v>
      </c>
      <c r="O213" s="7">
        <f t="shared" si="4"/>
        <v>269.41176470588238</v>
      </c>
    </row>
    <row r="214" spans="1:15" x14ac:dyDescent="0.4">
      <c r="A214" s="1">
        <v>213</v>
      </c>
      <c r="B214" s="2" t="s">
        <v>256</v>
      </c>
      <c r="C214" s="1" t="s">
        <v>257</v>
      </c>
      <c r="D214" s="2" t="s">
        <v>21</v>
      </c>
      <c r="E214" s="1" t="s">
        <v>22</v>
      </c>
      <c r="H214" s="2" t="s">
        <v>423</v>
      </c>
      <c r="I214" s="1" t="s">
        <v>424</v>
      </c>
      <c r="J214" s="2" t="s">
        <v>19</v>
      </c>
      <c r="K214" s="1" t="s">
        <v>20</v>
      </c>
      <c r="M214" s="6">
        <f>8+7/60</f>
        <v>8.1166666666666671</v>
      </c>
      <c r="N214" s="7">
        <f>2411</f>
        <v>2411</v>
      </c>
      <c r="O214" s="7">
        <f t="shared" si="4"/>
        <v>297.04312114989733</v>
      </c>
    </row>
    <row r="215" spans="1:15" x14ac:dyDescent="0.4">
      <c r="A215" s="1">
        <v>214</v>
      </c>
      <c r="B215" s="2" t="s">
        <v>149</v>
      </c>
      <c r="C215" s="1" t="s">
        <v>150</v>
      </c>
      <c r="D215" s="2"/>
      <c r="H215" s="2" t="s">
        <v>425</v>
      </c>
      <c r="I215" s="1" t="s">
        <v>426</v>
      </c>
      <c r="J215" s="2" t="s">
        <v>19</v>
      </c>
      <c r="K215" s="1" t="s">
        <v>20</v>
      </c>
      <c r="M215" s="6">
        <f>5+45/60</f>
        <v>5.75</v>
      </c>
      <c r="N215" s="7">
        <f>1624</f>
        <v>1624</v>
      </c>
      <c r="O215" s="7">
        <f t="shared" si="4"/>
        <v>282.43478260869563</v>
      </c>
    </row>
    <row r="216" spans="1:15" x14ac:dyDescent="0.4">
      <c r="A216" s="1">
        <v>215</v>
      </c>
      <c r="B216" s="2" t="s">
        <v>262</v>
      </c>
      <c r="C216" s="1" t="s">
        <v>257</v>
      </c>
      <c r="D216" s="2" t="s">
        <v>144</v>
      </c>
      <c r="E216" s="1" t="s">
        <v>122</v>
      </c>
      <c r="H216" s="2" t="s">
        <v>93</v>
      </c>
      <c r="I216" s="1" t="s">
        <v>94</v>
      </c>
      <c r="J216" s="2" t="s">
        <v>19</v>
      </c>
      <c r="K216" s="1" t="s">
        <v>20</v>
      </c>
      <c r="M216" s="6"/>
      <c r="N216" s="7">
        <f>1541</f>
        <v>1541</v>
      </c>
      <c r="O216" s="7" t="e">
        <f t="shared" si="4"/>
        <v>#DIV/0!</v>
      </c>
    </row>
    <row r="217" spans="1:15" x14ac:dyDescent="0.4">
      <c r="A217" s="1">
        <v>216</v>
      </c>
      <c r="D217" s="2"/>
      <c r="J217" s="2" t="s">
        <v>19</v>
      </c>
      <c r="K217" s="1" t="s">
        <v>20</v>
      </c>
      <c r="M217" s="6"/>
      <c r="N217" s="7"/>
      <c r="O217" s="7" t="e">
        <f t="shared" si="4"/>
        <v>#DIV/0!</v>
      </c>
    </row>
    <row r="218" spans="1:15" x14ac:dyDescent="0.4">
      <c r="A218" s="1">
        <v>217</v>
      </c>
      <c r="D218" s="2"/>
      <c r="J218" s="2" t="s">
        <v>19</v>
      </c>
      <c r="K218" s="1" t="s">
        <v>20</v>
      </c>
      <c r="M218" s="6"/>
      <c r="N218" s="7"/>
      <c r="O218" s="7" t="e">
        <f t="shared" si="4"/>
        <v>#DIV/0!</v>
      </c>
    </row>
    <row r="219" spans="1:15" x14ac:dyDescent="0.4">
      <c r="A219" s="1">
        <v>218</v>
      </c>
      <c r="D219" s="2"/>
      <c r="J219" s="2" t="s">
        <v>19</v>
      </c>
      <c r="K219" s="1" t="s">
        <v>20</v>
      </c>
      <c r="M219" s="6"/>
      <c r="N219" s="7"/>
      <c r="O219" s="7" t="e">
        <f t="shared" si="4"/>
        <v>#DIV/0!</v>
      </c>
    </row>
    <row r="220" spans="1:15" x14ac:dyDescent="0.4">
      <c r="A220" s="1">
        <v>219</v>
      </c>
      <c r="D220" s="2"/>
      <c r="J220" s="2" t="s">
        <v>19</v>
      </c>
      <c r="K220" s="1" t="s">
        <v>20</v>
      </c>
      <c r="M220" s="6"/>
      <c r="N220" s="7"/>
      <c r="O220" s="7" t="e">
        <f t="shared" si="4"/>
        <v>#DIV/0!</v>
      </c>
    </row>
    <row r="221" spans="1:15" x14ac:dyDescent="0.4">
      <c r="A221" s="1">
        <v>220</v>
      </c>
      <c r="D221" s="2"/>
      <c r="J221" s="2" t="s">
        <v>19</v>
      </c>
      <c r="K221" s="1" t="s">
        <v>20</v>
      </c>
      <c r="M221" s="6"/>
      <c r="N221" s="7"/>
      <c r="O221" s="7" t="e">
        <f t="shared" si="4"/>
        <v>#DIV/0!</v>
      </c>
    </row>
    <row r="222" spans="1:15" x14ac:dyDescent="0.4">
      <c r="A222" s="1">
        <v>221</v>
      </c>
      <c r="D222" s="2"/>
      <c r="J222" s="2" t="s">
        <v>19</v>
      </c>
      <c r="K222" s="1" t="s">
        <v>20</v>
      </c>
      <c r="M222" s="6"/>
      <c r="N222" s="7"/>
      <c r="O222" s="7" t="e">
        <f t="shared" si="4"/>
        <v>#DIV/0!</v>
      </c>
    </row>
    <row r="223" spans="1:15" x14ac:dyDescent="0.4">
      <c r="A223" s="1">
        <v>222</v>
      </c>
      <c r="D223" s="2"/>
      <c r="J223" s="2" t="s">
        <v>19</v>
      </c>
      <c r="K223" s="1" t="s">
        <v>20</v>
      </c>
      <c r="M223" s="6"/>
      <c r="N223" s="7"/>
      <c r="O223" s="7" t="e">
        <f t="shared" si="4"/>
        <v>#DIV/0!</v>
      </c>
    </row>
    <row r="224" spans="1:15" x14ac:dyDescent="0.4">
      <c r="A224" s="1">
        <v>223</v>
      </c>
      <c r="D224" s="2"/>
      <c r="J224" s="2" t="s">
        <v>19</v>
      </c>
      <c r="K224" s="1" t="s">
        <v>20</v>
      </c>
      <c r="M224" s="6"/>
      <c r="N224" s="7"/>
      <c r="O224" s="7" t="e">
        <f t="shared" si="4"/>
        <v>#DIV/0!</v>
      </c>
    </row>
    <row r="225" spans="1:15" x14ac:dyDescent="0.4">
      <c r="A225" s="1">
        <v>224</v>
      </c>
      <c r="D225" s="2"/>
      <c r="J225" s="2" t="s">
        <v>19</v>
      </c>
      <c r="K225" s="1" t="s">
        <v>20</v>
      </c>
      <c r="M225" s="6"/>
      <c r="N225" s="7"/>
      <c r="O225" s="7" t="e">
        <f t="shared" si="4"/>
        <v>#DIV/0!</v>
      </c>
    </row>
    <row r="226" spans="1:15" x14ac:dyDescent="0.4">
      <c r="A226" s="1">
        <v>225</v>
      </c>
      <c r="D226" s="2"/>
      <c r="J226" s="2" t="s">
        <v>19</v>
      </c>
      <c r="K226" s="1" t="s">
        <v>20</v>
      </c>
      <c r="M226" s="6"/>
      <c r="N226" s="7"/>
      <c r="O226" s="7" t="e">
        <f t="shared" si="4"/>
        <v>#DIV/0!</v>
      </c>
    </row>
    <row r="227" spans="1:15" x14ac:dyDescent="0.4">
      <c r="A227" s="1">
        <v>226</v>
      </c>
      <c r="D227" s="2"/>
      <c r="J227" s="2" t="s">
        <v>19</v>
      </c>
      <c r="K227" s="1" t="s">
        <v>20</v>
      </c>
      <c r="M227" s="6"/>
      <c r="N227" s="7"/>
      <c r="O227" s="7" t="e">
        <f t="shared" si="4"/>
        <v>#DIV/0!</v>
      </c>
    </row>
    <row r="228" spans="1:15" x14ac:dyDescent="0.4">
      <c r="A228" s="1">
        <v>227</v>
      </c>
      <c r="D228" s="2"/>
      <c r="J228" s="2" t="s">
        <v>19</v>
      </c>
      <c r="K228" s="1" t="s">
        <v>20</v>
      </c>
      <c r="M228" s="6"/>
      <c r="N228" s="7"/>
      <c r="O228" s="7" t="e">
        <f t="shared" si="4"/>
        <v>#DIV/0!</v>
      </c>
    </row>
    <row r="229" spans="1:15" x14ac:dyDescent="0.4">
      <c r="A229" s="1">
        <v>228</v>
      </c>
      <c r="D229" s="2"/>
      <c r="J229" s="2" t="s">
        <v>19</v>
      </c>
      <c r="K229" s="1" t="s">
        <v>20</v>
      </c>
      <c r="M229" s="6"/>
      <c r="N229" s="7"/>
      <c r="O229" s="7" t="e">
        <f t="shared" si="4"/>
        <v>#DIV/0!</v>
      </c>
    </row>
    <row r="230" spans="1:15" x14ac:dyDescent="0.4">
      <c r="A230" s="1">
        <v>229</v>
      </c>
      <c r="D230" s="2"/>
      <c r="J230" s="2" t="s">
        <v>19</v>
      </c>
      <c r="K230" s="1" t="s">
        <v>20</v>
      </c>
      <c r="M230" s="6"/>
      <c r="N230" s="7"/>
      <c r="O230" s="7" t="e">
        <f t="shared" si="4"/>
        <v>#DIV/0!</v>
      </c>
    </row>
    <row r="231" spans="1:15" x14ac:dyDescent="0.4">
      <c r="A231" s="1">
        <v>230</v>
      </c>
      <c r="D231" s="2"/>
      <c r="J231" s="2" t="s">
        <v>19</v>
      </c>
      <c r="K231" s="1" t="s">
        <v>20</v>
      </c>
      <c r="M231" s="6"/>
      <c r="N231" s="7"/>
      <c r="O231" s="7" t="e">
        <f t="shared" si="4"/>
        <v>#DIV/0!</v>
      </c>
    </row>
    <row r="232" spans="1:15" x14ac:dyDescent="0.4">
      <c r="A232" s="1">
        <v>231</v>
      </c>
      <c r="D232" s="2"/>
      <c r="J232" s="2" t="s">
        <v>19</v>
      </c>
      <c r="K232" s="1" t="s">
        <v>20</v>
      </c>
      <c r="M232" s="6"/>
      <c r="N232" s="7"/>
      <c r="O232" s="7" t="e">
        <f t="shared" si="4"/>
        <v>#DIV/0!</v>
      </c>
    </row>
    <row r="233" spans="1:15" x14ac:dyDescent="0.4">
      <c r="A233" s="1">
        <v>232</v>
      </c>
      <c r="D233" s="2"/>
      <c r="J233" s="2" t="s">
        <v>19</v>
      </c>
      <c r="K233" s="1" t="s">
        <v>20</v>
      </c>
      <c r="M233" s="6"/>
      <c r="N233" s="7"/>
      <c r="O233" s="7" t="e">
        <f t="shared" si="4"/>
        <v>#DIV/0!</v>
      </c>
    </row>
    <row r="234" spans="1:15" x14ac:dyDescent="0.4">
      <c r="A234" s="1">
        <v>233</v>
      </c>
      <c r="D234" s="2"/>
      <c r="J234" s="2" t="s">
        <v>19</v>
      </c>
      <c r="K234" s="1" t="s">
        <v>20</v>
      </c>
      <c r="M234" s="6"/>
      <c r="N234" s="7"/>
      <c r="O234" s="7" t="e">
        <f t="shared" si="4"/>
        <v>#DIV/0!</v>
      </c>
    </row>
    <row r="235" spans="1:15" x14ac:dyDescent="0.4">
      <c r="A235" s="1">
        <v>234</v>
      </c>
      <c r="D235" s="2"/>
      <c r="J235" s="2" t="s">
        <v>19</v>
      </c>
      <c r="K235" s="1" t="s">
        <v>20</v>
      </c>
      <c r="M235" s="6"/>
      <c r="N235" s="7"/>
      <c r="O235" s="7" t="e">
        <f t="shared" si="4"/>
        <v>#DIV/0!</v>
      </c>
    </row>
    <row r="236" spans="1:15" x14ac:dyDescent="0.4">
      <c r="A236" s="1">
        <v>235</v>
      </c>
      <c r="D236" s="2"/>
      <c r="J236" s="2" t="s">
        <v>19</v>
      </c>
      <c r="K236" s="1" t="s">
        <v>20</v>
      </c>
      <c r="M236" s="6"/>
      <c r="N236" s="7"/>
      <c r="O236" s="7" t="e">
        <f t="shared" si="4"/>
        <v>#DIV/0!</v>
      </c>
    </row>
    <row r="237" spans="1:15" x14ac:dyDescent="0.4">
      <c r="A237" s="1">
        <v>236</v>
      </c>
      <c r="D237" s="2"/>
      <c r="J237" s="2" t="s">
        <v>19</v>
      </c>
      <c r="K237" s="1" t="s">
        <v>20</v>
      </c>
      <c r="M237" s="6"/>
      <c r="N237" s="7"/>
      <c r="O237" s="7" t="e">
        <f t="shared" si="4"/>
        <v>#DIV/0!</v>
      </c>
    </row>
    <row r="238" spans="1:15" x14ac:dyDescent="0.4">
      <c r="A238" s="1">
        <v>237</v>
      </c>
      <c r="D238" s="2"/>
      <c r="J238" s="2" t="s">
        <v>19</v>
      </c>
      <c r="K238" s="1" t="s">
        <v>20</v>
      </c>
      <c r="M238" s="6"/>
      <c r="N238" s="7"/>
      <c r="O238" s="7" t="e">
        <f t="shared" si="4"/>
        <v>#DIV/0!</v>
      </c>
    </row>
    <row r="239" spans="1:15" x14ac:dyDescent="0.4">
      <c r="A239" s="1">
        <v>238</v>
      </c>
      <c r="D239" s="2"/>
      <c r="J239" s="2" t="s">
        <v>19</v>
      </c>
      <c r="K239" s="1" t="s">
        <v>20</v>
      </c>
      <c r="M239" s="6"/>
      <c r="N239" s="7"/>
      <c r="O239" s="7" t="e">
        <f t="shared" si="4"/>
        <v>#DIV/0!</v>
      </c>
    </row>
    <row r="240" spans="1:15" x14ac:dyDescent="0.4">
      <c r="A240" s="1">
        <v>239</v>
      </c>
      <c r="D240" s="2"/>
      <c r="J240" s="2" t="s">
        <v>19</v>
      </c>
      <c r="K240" s="1" t="s">
        <v>20</v>
      </c>
      <c r="M240" s="6"/>
      <c r="N240" s="7"/>
      <c r="O240" s="7" t="e">
        <f t="shared" si="4"/>
        <v>#DIV/0!</v>
      </c>
    </row>
    <row r="241" spans="1:15" x14ac:dyDescent="0.4">
      <c r="A241" s="1">
        <v>240</v>
      </c>
      <c r="D241" s="2"/>
      <c r="J241" s="2" t="s">
        <v>19</v>
      </c>
      <c r="K241" s="1" t="s">
        <v>20</v>
      </c>
      <c r="M241" s="6"/>
      <c r="N241" s="7"/>
      <c r="O241" s="7" t="e">
        <f t="shared" si="4"/>
        <v>#DIV/0!</v>
      </c>
    </row>
    <row r="242" spans="1:15" x14ac:dyDescent="0.4">
      <c r="A242" s="1">
        <v>241</v>
      </c>
      <c r="D242" s="2"/>
      <c r="J242" s="2" t="s">
        <v>19</v>
      </c>
      <c r="K242" s="1" t="s">
        <v>20</v>
      </c>
      <c r="M242" s="6"/>
      <c r="N242" s="7"/>
      <c r="O242" s="7" t="e">
        <f t="shared" si="4"/>
        <v>#DIV/0!</v>
      </c>
    </row>
    <row r="243" spans="1:15" x14ac:dyDescent="0.4">
      <c r="A243" s="1">
        <v>242</v>
      </c>
      <c r="D243" s="2"/>
      <c r="J243" s="2" t="s">
        <v>19</v>
      </c>
      <c r="K243" s="1" t="s">
        <v>20</v>
      </c>
      <c r="M243" s="6"/>
      <c r="N243" s="7"/>
      <c r="O243" s="7" t="e">
        <f t="shared" si="4"/>
        <v>#DIV/0!</v>
      </c>
    </row>
    <row r="244" spans="1:15" x14ac:dyDescent="0.4">
      <c r="A244" s="1">
        <v>243</v>
      </c>
      <c r="D244" s="2"/>
      <c r="J244" s="2" t="s">
        <v>19</v>
      </c>
      <c r="K244" s="1" t="s">
        <v>20</v>
      </c>
      <c r="M244" s="6"/>
      <c r="N244" s="7"/>
      <c r="O244" s="7" t="e">
        <f t="shared" si="4"/>
        <v>#DIV/0!</v>
      </c>
    </row>
    <row r="245" spans="1:15" x14ac:dyDescent="0.4">
      <c r="A245" s="1">
        <v>244</v>
      </c>
      <c r="D245" s="2"/>
      <c r="J245" s="2" t="s">
        <v>19</v>
      </c>
      <c r="K245" s="1" t="s">
        <v>20</v>
      </c>
      <c r="M245" s="6"/>
      <c r="N245" s="7"/>
      <c r="O245" s="7" t="e">
        <f t="shared" si="4"/>
        <v>#DIV/0!</v>
      </c>
    </row>
    <row r="246" spans="1:15" x14ac:dyDescent="0.4">
      <c r="A246" s="1">
        <v>245</v>
      </c>
      <c r="D246" s="2"/>
      <c r="J246" s="2" t="s">
        <v>19</v>
      </c>
      <c r="K246" s="1" t="s">
        <v>20</v>
      </c>
      <c r="M246" s="6"/>
      <c r="N246" s="7"/>
      <c r="O246" s="7" t="e">
        <f t="shared" si="4"/>
        <v>#DIV/0!</v>
      </c>
    </row>
    <row r="247" spans="1:15" x14ac:dyDescent="0.4">
      <c r="A247" s="1">
        <v>246</v>
      </c>
      <c r="D247" s="2"/>
      <c r="J247" s="2" t="s">
        <v>19</v>
      </c>
      <c r="K247" s="1" t="s">
        <v>20</v>
      </c>
      <c r="M247" s="6"/>
      <c r="N247" s="7"/>
      <c r="O247" s="7" t="e">
        <f t="shared" si="4"/>
        <v>#DIV/0!</v>
      </c>
    </row>
    <row r="248" spans="1:15" x14ac:dyDescent="0.4">
      <c r="A248" s="1">
        <v>247</v>
      </c>
      <c r="D248" s="2"/>
      <c r="J248" s="2" t="s">
        <v>19</v>
      </c>
      <c r="K248" s="1" t="s">
        <v>20</v>
      </c>
      <c r="M248" s="6"/>
      <c r="N248" s="7"/>
      <c r="O248" s="7" t="e">
        <f t="shared" si="4"/>
        <v>#DIV/0!</v>
      </c>
    </row>
    <row r="249" spans="1:15" x14ac:dyDescent="0.4">
      <c r="A249" s="1">
        <v>248</v>
      </c>
      <c r="D249" s="2"/>
      <c r="J249" s="2" t="s">
        <v>19</v>
      </c>
      <c r="K249" s="1" t="s">
        <v>20</v>
      </c>
      <c r="M249" s="6"/>
      <c r="N249" s="7"/>
      <c r="O249" s="7" t="e">
        <f t="shared" si="4"/>
        <v>#DIV/0!</v>
      </c>
    </row>
    <row r="250" spans="1:15" x14ac:dyDescent="0.4">
      <c r="A250" s="1">
        <v>249</v>
      </c>
      <c r="D250" s="2"/>
      <c r="J250" s="2" t="s">
        <v>19</v>
      </c>
      <c r="K250" s="1" t="s">
        <v>20</v>
      </c>
      <c r="M250" s="6"/>
      <c r="N250" s="7"/>
      <c r="O250" s="7" t="e">
        <f t="shared" si="4"/>
        <v>#DIV/0!</v>
      </c>
    </row>
    <row r="251" spans="1:15" x14ac:dyDescent="0.4">
      <c r="A251" s="1">
        <v>250</v>
      </c>
      <c r="D251" s="2"/>
      <c r="J251" s="2" t="s">
        <v>19</v>
      </c>
      <c r="K251" s="1" t="s">
        <v>20</v>
      </c>
      <c r="M251" s="6"/>
      <c r="N251" s="7"/>
      <c r="O251" s="7" t="e">
        <f t="shared" si="4"/>
        <v>#DIV/0!</v>
      </c>
    </row>
    <row r="252" spans="1:15" x14ac:dyDescent="0.4">
      <c r="A252" s="1">
        <v>251</v>
      </c>
      <c r="D252" s="2"/>
      <c r="J252" s="2" t="s">
        <v>19</v>
      </c>
      <c r="K252" s="1" t="s">
        <v>20</v>
      </c>
      <c r="M252" s="6"/>
      <c r="N252" s="7"/>
      <c r="O252" s="7" t="e">
        <f t="shared" si="4"/>
        <v>#DIV/0!</v>
      </c>
    </row>
    <row r="253" spans="1:15" x14ac:dyDescent="0.4">
      <c r="A253" s="1">
        <v>252</v>
      </c>
      <c r="D253" s="2"/>
      <c r="J253" s="2" t="s">
        <v>19</v>
      </c>
      <c r="K253" s="1" t="s">
        <v>20</v>
      </c>
      <c r="M253" s="6"/>
      <c r="N253" s="7"/>
      <c r="O253" s="7" t="e">
        <f t="shared" si="4"/>
        <v>#DIV/0!</v>
      </c>
    </row>
    <row r="254" spans="1:15" x14ac:dyDescent="0.4">
      <c r="A254" s="1">
        <v>253</v>
      </c>
      <c r="D254" s="2"/>
      <c r="J254" s="2" t="s">
        <v>19</v>
      </c>
      <c r="K254" s="1" t="s">
        <v>20</v>
      </c>
      <c r="M254" s="6"/>
      <c r="N254" s="7"/>
      <c r="O254" s="7" t="e">
        <f t="shared" si="4"/>
        <v>#DIV/0!</v>
      </c>
    </row>
    <row r="255" spans="1:15" x14ac:dyDescent="0.4">
      <c r="A255" s="1">
        <v>254</v>
      </c>
      <c r="D255" s="2"/>
      <c r="J255" s="2" t="s">
        <v>19</v>
      </c>
      <c r="K255" s="1" t="s">
        <v>20</v>
      </c>
      <c r="M255" s="6"/>
      <c r="N255" s="7"/>
      <c r="O255" s="7" t="e">
        <f t="shared" si="4"/>
        <v>#DIV/0!</v>
      </c>
    </row>
    <row r="256" spans="1:15" x14ac:dyDescent="0.4">
      <c r="A256" s="1">
        <v>255</v>
      </c>
      <c r="D256" s="2"/>
      <c r="J256" s="2" t="s">
        <v>19</v>
      </c>
      <c r="K256" s="1" t="s">
        <v>20</v>
      </c>
      <c r="M256" s="6"/>
      <c r="N256" s="7"/>
      <c r="O256" s="7" t="e">
        <f t="shared" si="4"/>
        <v>#DIV/0!</v>
      </c>
    </row>
    <row r="257" spans="1:15" x14ac:dyDescent="0.4">
      <c r="A257" s="1">
        <v>256</v>
      </c>
      <c r="D257" s="2"/>
      <c r="J257" s="2" t="s">
        <v>19</v>
      </c>
      <c r="K257" s="1" t="s">
        <v>20</v>
      </c>
      <c r="M257" s="6"/>
      <c r="N257" s="7"/>
      <c r="O257" s="7" t="e">
        <f t="shared" si="4"/>
        <v>#DIV/0!</v>
      </c>
    </row>
    <row r="258" spans="1:15" x14ac:dyDescent="0.4">
      <c r="A258" s="1">
        <v>257</v>
      </c>
      <c r="D258" s="2"/>
      <c r="J258" s="2" t="s">
        <v>19</v>
      </c>
      <c r="K258" s="1" t="s">
        <v>20</v>
      </c>
      <c r="M258" s="6"/>
      <c r="N258" s="7"/>
      <c r="O258" s="7" t="e">
        <f t="shared" ref="O258:O321" si="5">N258/M258</f>
        <v>#DIV/0!</v>
      </c>
    </row>
    <row r="259" spans="1:15" x14ac:dyDescent="0.4">
      <c r="A259" s="1">
        <v>258</v>
      </c>
      <c r="D259" s="2"/>
      <c r="J259" s="2" t="s">
        <v>19</v>
      </c>
      <c r="K259" s="1" t="s">
        <v>20</v>
      </c>
      <c r="M259" s="6"/>
      <c r="N259" s="7"/>
      <c r="O259" s="7" t="e">
        <f t="shared" si="5"/>
        <v>#DIV/0!</v>
      </c>
    </row>
    <row r="260" spans="1:15" x14ac:dyDescent="0.4">
      <c r="A260" s="1">
        <v>259</v>
      </c>
      <c r="D260" s="2"/>
      <c r="J260" s="2" t="s">
        <v>19</v>
      </c>
      <c r="K260" s="1" t="s">
        <v>20</v>
      </c>
      <c r="M260" s="6"/>
      <c r="N260" s="7"/>
      <c r="O260" s="7" t="e">
        <f t="shared" si="5"/>
        <v>#DIV/0!</v>
      </c>
    </row>
    <row r="261" spans="1:15" x14ac:dyDescent="0.4">
      <c r="A261" s="1">
        <v>260</v>
      </c>
      <c r="D261" s="2"/>
      <c r="J261" s="2" t="s">
        <v>19</v>
      </c>
      <c r="K261" s="1" t="s">
        <v>20</v>
      </c>
      <c r="M261" s="6"/>
      <c r="N261" s="7"/>
      <c r="O261" s="7" t="e">
        <f t="shared" si="5"/>
        <v>#DIV/0!</v>
      </c>
    </row>
    <row r="262" spans="1:15" x14ac:dyDescent="0.4">
      <c r="A262" s="1">
        <v>261</v>
      </c>
      <c r="D262" s="2"/>
      <c r="J262" s="2" t="s">
        <v>19</v>
      </c>
      <c r="K262" s="1" t="s">
        <v>20</v>
      </c>
      <c r="M262" s="6"/>
      <c r="N262" s="7"/>
      <c r="O262" s="7" t="e">
        <f t="shared" si="5"/>
        <v>#DIV/0!</v>
      </c>
    </row>
    <row r="263" spans="1:15" x14ac:dyDescent="0.4">
      <c r="A263" s="1">
        <v>262</v>
      </c>
      <c r="D263" s="2"/>
      <c r="J263" s="2" t="s">
        <v>19</v>
      </c>
      <c r="K263" s="1" t="s">
        <v>20</v>
      </c>
      <c r="M263" s="6"/>
      <c r="N263" s="7"/>
      <c r="O263" s="7" t="e">
        <f t="shared" si="5"/>
        <v>#DIV/0!</v>
      </c>
    </row>
    <row r="264" spans="1:15" x14ac:dyDescent="0.4">
      <c r="A264" s="1">
        <v>263</v>
      </c>
      <c r="D264" s="2"/>
      <c r="J264" s="2" t="s">
        <v>19</v>
      </c>
      <c r="K264" s="1" t="s">
        <v>20</v>
      </c>
      <c r="M264" s="6"/>
      <c r="N264" s="7"/>
      <c r="O264" s="7" t="e">
        <f t="shared" si="5"/>
        <v>#DIV/0!</v>
      </c>
    </row>
    <row r="265" spans="1:15" x14ac:dyDescent="0.4">
      <c r="A265" s="1">
        <v>264</v>
      </c>
      <c r="D265" s="2"/>
      <c r="J265" s="2" t="s">
        <v>19</v>
      </c>
      <c r="K265" s="1" t="s">
        <v>20</v>
      </c>
      <c r="M265" s="6"/>
      <c r="N265" s="7"/>
      <c r="O265" s="7" t="e">
        <f t="shared" si="5"/>
        <v>#DIV/0!</v>
      </c>
    </row>
    <row r="266" spans="1:15" x14ac:dyDescent="0.4">
      <c r="A266" s="1">
        <v>265</v>
      </c>
      <c r="D266" s="2"/>
      <c r="J266" s="2" t="s">
        <v>19</v>
      </c>
      <c r="K266" s="1" t="s">
        <v>20</v>
      </c>
      <c r="M266" s="6"/>
      <c r="N266" s="7"/>
      <c r="O266" s="7" t="e">
        <f t="shared" si="5"/>
        <v>#DIV/0!</v>
      </c>
    </row>
    <row r="267" spans="1:15" x14ac:dyDescent="0.4">
      <c r="A267" s="1">
        <v>266</v>
      </c>
      <c r="D267" s="2"/>
      <c r="J267" s="2" t="s">
        <v>19</v>
      </c>
      <c r="K267" s="1" t="s">
        <v>20</v>
      </c>
      <c r="M267" s="6"/>
      <c r="N267" s="7"/>
      <c r="O267" s="7" t="e">
        <f t="shared" si="5"/>
        <v>#DIV/0!</v>
      </c>
    </row>
    <row r="268" spans="1:15" x14ac:dyDescent="0.4">
      <c r="A268" s="1">
        <v>267</v>
      </c>
      <c r="D268" s="2"/>
      <c r="J268" s="2" t="s">
        <v>19</v>
      </c>
      <c r="K268" s="1" t="s">
        <v>20</v>
      </c>
      <c r="M268" s="6"/>
      <c r="N268" s="7"/>
      <c r="O268" s="7" t="e">
        <f t="shared" si="5"/>
        <v>#DIV/0!</v>
      </c>
    </row>
    <row r="269" spans="1:15" x14ac:dyDescent="0.4">
      <c r="A269" s="1">
        <v>268</v>
      </c>
      <c r="D269" s="2"/>
      <c r="J269" s="2" t="s">
        <v>19</v>
      </c>
      <c r="K269" s="1" t="s">
        <v>20</v>
      </c>
      <c r="M269" s="6"/>
      <c r="N269" s="7"/>
      <c r="O269" s="7" t="e">
        <f t="shared" si="5"/>
        <v>#DIV/0!</v>
      </c>
    </row>
    <row r="270" spans="1:15" x14ac:dyDescent="0.4">
      <c r="A270" s="1">
        <v>269</v>
      </c>
      <c r="D270" s="2"/>
      <c r="J270" s="2" t="s">
        <v>19</v>
      </c>
      <c r="K270" s="1" t="s">
        <v>20</v>
      </c>
      <c r="M270" s="6"/>
      <c r="N270" s="7"/>
      <c r="O270" s="7" t="e">
        <f t="shared" si="5"/>
        <v>#DIV/0!</v>
      </c>
    </row>
    <row r="271" spans="1:15" x14ac:dyDescent="0.4">
      <c r="A271" s="1">
        <v>270</v>
      </c>
      <c r="D271" s="2"/>
      <c r="J271" s="2" t="s">
        <v>19</v>
      </c>
      <c r="K271" s="1" t="s">
        <v>20</v>
      </c>
      <c r="M271" s="6"/>
      <c r="N271" s="7"/>
      <c r="O271" s="7" t="e">
        <f t="shared" si="5"/>
        <v>#DIV/0!</v>
      </c>
    </row>
    <row r="272" spans="1:15" x14ac:dyDescent="0.4">
      <c r="A272" s="1">
        <v>271</v>
      </c>
      <c r="D272" s="2"/>
      <c r="J272" s="2" t="s">
        <v>19</v>
      </c>
      <c r="K272" s="1" t="s">
        <v>20</v>
      </c>
      <c r="M272" s="6"/>
      <c r="N272" s="7"/>
      <c r="O272" s="7" t="e">
        <f t="shared" si="5"/>
        <v>#DIV/0!</v>
      </c>
    </row>
    <row r="273" spans="1:15" x14ac:dyDescent="0.4">
      <c r="A273" s="1">
        <v>272</v>
      </c>
      <c r="D273" s="2"/>
      <c r="J273" s="2" t="s">
        <v>19</v>
      </c>
      <c r="K273" s="1" t="s">
        <v>20</v>
      </c>
      <c r="M273" s="6"/>
      <c r="N273" s="7"/>
      <c r="O273" s="7" t="e">
        <f t="shared" si="5"/>
        <v>#DIV/0!</v>
      </c>
    </row>
    <row r="274" spans="1:15" x14ac:dyDescent="0.4">
      <c r="A274" s="1">
        <v>273</v>
      </c>
      <c r="D274" s="2"/>
      <c r="J274" s="2" t="s">
        <v>19</v>
      </c>
      <c r="K274" s="1" t="s">
        <v>20</v>
      </c>
      <c r="M274" s="6"/>
      <c r="N274" s="7"/>
      <c r="O274" s="7" t="e">
        <f t="shared" si="5"/>
        <v>#DIV/0!</v>
      </c>
    </row>
    <row r="275" spans="1:15" x14ac:dyDescent="0.4">
      <c r="A275" s="1">
        <v>274</v>
      </c>
      <c r="D275" s="2"/>
      <c r="J275" s="2" t="s">
        <v>19</v>
      </c>
      <c r="K275" s="1" t="s">
        <v>20</v>
      </c>
      <c r="M275" s="6"/>
      <c r="N275" s="7"/>
      <c r="O275" s="7" t="e">
        <f t="shared" si="5"/>
        <v>#DIV/0!</v>
      </c>
    </row>
    <row r="276" spans="1:15" x14ac:dyDescent="0.4">
      <c r="A276" s="1">
        <v>275</v>
      </c>
      <c r="D276" s="2"/>
      <c r="J276" s="2" t="s">
        <v>19</v>
      </c>
      <c r="K276" s="1" t="s">
        <v>20</v>
      </c>
      <c r="M276" s="6"/>
      <c r="N276" s="7"/>
      <c r="O276" s="7" t="e">
        <f t="shared" si="5"/>
        <v>#DIV/0!</v>
      </c>
    </row>
    <row r="277" spans="1:15" x14ac:dyDescent="0.4">
      <c r="A277" s="1">
        <v>276</v>
      </c>
      <c r="D277" s="2"/>
      <c r="J277" s="2" t="s">
        <v>19</v>
      </c>
      <c r="K277" s="1" t="s">
        <v>20</v>
      </c>
      <c r="M277" s="6"/>
      <c r="N277" s="7"/>
      <c r="O277" s="7" t="e">
        <f t="shared" si="5"/>
        <v>#DIV/0!</v>
      </c>
    </row>
    <row r="278" spans="1:15" x14ac:dyDescent="0.4">
      <c r="A278" s="1">
        <v>277</v>
      </c>
      <c r="D278" s="2"/>
      <c r="J278" s="2" t="s">
        <v>19</v>
      </c>
      <c r="K278" s="1" t="s">
        <v>20</v>
      </c>
      <c r="M278" s="6"/>
      <c r="N278" s="7"/>
      <c r="O278" s="7" t="e">
        <f t="shared" si="5"/>
        <v>#DIV/0!</v>
      </c>
    </row>
    <row r="279" spans="1:15" x14ac:dyDescent="0.4">
      <c r="A279" s="1">
        <v>278</v>
      </c>
      <c r="D279" s="2"/>
      <c r="J279" s="2" t="s">
        <v>19</v>
      </c>
      <c r="K279" s="1" t="s">
        <v>20</v>
      </c>
      <c r="M279" s="6"/>
      <c r="N279" s="7"/>
      <c r="O279" s="7" t="e">
        <f t="shared" si="5"/>
        <v>#DIV/0!</v>
      </c>
    </row>
    <row r="280" spans="1:15" x14ac:dyDescent="0.4">
      <c r="A280" s="1">
        <v>279</v>
      </c>
      <c r="D280" s="2"/>
      <c r="J280" s="2" t="s">
        <v>19</v>
      </c>
      <c r="K280" s="1" t="s">
        <v>20</v>
      </c>
      <c r="M280" s="6"/>
      <c r="N280" s="7"/>
      <c r="O280" s="7" t="e">
        <f t="shared" si="5"/>
        <v>#DIV/0!</v>
      </c>
    </row>
    <row r="281" spans="1:15" x14ac:dyDescent="0.4">
      <c r="A281" s="1">
        <v>280</v>
      </c>
      <c r="D281" s="2"/>
      <c r="J281" s="2" t="s">
        <v>19</v>
      </c>
      <c r="K281" s="1" t="s">
        <v>20</v>
      </c>
      <c r="M281" s="6"/>
      <c r="N281" s="7"/>
      <c r="O281" s="7" t="e">
        <f t="shared" si="5"/>
        <v>#DIV/0!</v>
      </c>
    </row>
    <row r="282" spans="1:15" x14ac:dyDescent="0.4">
      <c r="A282" s="1">
        <v>281</v>
      </c>
      <c r="D282" s="2"/>
      <c r="J282" s="2" t="s">
        <v>19</v>
      </c>
      <c r="K282" s="1" t="s">
        <v>20</v>
      </c>
      <c r="M282" s="6"/>
      <c r="N282" s="7"/>
      <c r="O282" s="7" t="e">
        <f t="shared" si="5"/>
        <v>#DIV/0!</v>
      </c>
    </row>
    <row r="283" spans="1:15" x14ac:dyDescent="0.4">
      <c r="A283" s="1">
        <v>282</v>
      </c>
      <c r="D283" s="2"/>
      <c r="J283" s="2" t="s">
        <v>19</v>
      </c>
      <c r="K283" s="1" t="s">
        <v>20</v>
      </c>
      <c r="M283" s="6"/>
      <c r="N283" s="7"/>
      <c r="O283" s="7" t="e">
        <f t="shared" si="5"/>
        <v>#DIV/0!</v>
      </c>
    </row>
    <row r="284" spans="1:15" x14ac:dyDescent="0.4">
      <c r="A284" s="1">
        <v>283</v>
      </c>
      <c r="D284" s="2"/>
      <c r="J284" s="2" t="s">
        <v>19</v>
      </c>
      <c r="K284" s="1" t="s">
        <v>20</v>
      </c>
      <c r="M284" s="6"/>
      <c r="N284" s="7"/>
      <c r="O284" s="7" t="e">
        <f t="shared" si="5"/>
        <v>#DIV/0!</v>
      </c>
    </row>
    <row r="285" spans="1:15" x14ac:dyDescent="0.4">
      <c r="A285" s="1">
        <v>284</v>
      </c>
      <c r="D285" s="2"/>
      <c r="J285" s="2" t="s">
        <v>19</v>
      </c>
      <c r="K285" s="1" t="s">
        <v>20</v>
      </c>
      <c r="M285" s="6"/>
      <c r="N285" s="7"/>
      <c r="O285" s="7" t="e">
        <f t="shared" si="5"/>
        <v>#DIV/0!</v>
      </c>
    </row>
    <row r="286" spans="1:15" x14ac:dyDescent="0.4">
      <c r="A286" s="1">
        <v>285</v>
      </c>
      <c r="D286" s="2"/>
      <c r="J286" s="2" t="s">
        <v>19</v>
      </c>
      <c r="K286" s="1" t="s">
        <v>20</v>
      </c>
      <c r="M286" s="6"/>
      <c r="N286" s="7"/>
      <c r="O286" s="7" t="e">
        <f t="shared" si="5"/>
        <v>#DIV/0!</v>
      </c>
    </row>
    <row r="287" spans="1:15" x14ac:dyDescent="0.4">
      <c r="A287" s="1">
        <v>286</v>
      </c>
      <c r="D287" s="2"/>
      <c r="J287" s="2" t="s">
        <v>19</v>
      </c>
      <c r="K287" s="1" t="s">
        <v>20</v>
      </c>
      <c r="M287" s="6"/>
      <c r="N287" s="7"/>
      <c r="O287" s="7" t="e">
        <f t="shared" si="5"/>
        <v>#DIV/0!</v>
      </c>
    </row>
    <row r="288" spans="1:15" x14ac:dyDescent="0.4">
      <c r="A288" s="1">
        <v>287</v>
      </c>
      <c r="D288" s="2"/>
      <c r="J288" s="2" t="s">
        <v>19</v>
      </c>
      <c r="K288" s="1" t="s">
        <v>20</v>
      </c>
      <c r="M288" s="6"/>
      <c r="N288" s="7"/>
      <c r="O288" s="7" t="e">
        <f t="shared" si="5"/>
        <v>#DIV/0!</v>
      </c>
    </row>
    <row r="289" spans="1:15" x14ac:dyDescent="0.4">
      <c r="A289" s="1">
        <v>288</v>
      </c>
      <c r="D289" s="2"/>
      <c r="J289" s="2" t="s">
        <v>19</v>
      </c>
      <c r="K289" s="1" t="s">
        <v>20</v>
      </c>
      <c r="M289" s="6"/>
      <c r="N289" s="7"/>
      <c r="O289" s="7" t="e">
        <f t="shared" si="5"/>
        <v>#DIV/0!</v>
      </c>
    </row>
    <row r="290" spans="1:15" x14ac:dyDescent="0.4">
      <c r="A290" s="1">
        <v>289</v>
      </c>
      <c r="D290" s="2"/>
      <c r="J290" s="2" t="s">
        <v>19</v>
      </c>
      <c r="K290" s="1" t="s">
        <v>20</v>
      </c>
      <c r="M290" s="6"/>
      <c r="N290" s="7"/>
      <c r="O290" s="7" t="e">
        <f t="shared" si="5"/>
        <v>#DIV/0!</v>
      </c>
    </row>
    <row r="291" spans="1:15" x14ac:dyDescent="0.4">
      <c r="A291" s="1">
        <v>290</v>
      </c>
      <c r="D291" s="2"/>
      <c r="J291" s="2" t="s">
        <v>19</v>
      </c>
      <c r="K291" s="1" t="s">
        <v>20</v>
      </c>
      <c r="M291" s="6"/>
      <c r="N291" s="7"/>
      <c r="O291" s="7" t="e">
        <f t="shared" si="5"/>
        <v>#DIV/0!</v>
      </c>
    </row>
    <row r="292" spans="1:15" x14ac:dyDescent="0.4">
      <c r="A292" s="1">
        <v>291</v>
      </c>
      <c r="D292" s="2"/>
      <c r="J292" s="2" t="s">
        <v>19</v>
      </c>
      <c r="K292" s="1" t="s">
        <v>20</v>
      </c>
      <c r="M292" s="6"/>
      <c r="N292" s="7"/>
      <c r="O292" s="7" t="e">
        <f t="shared" si="5"/>
        <v>#DIV/0!</v>
      </c>
    </row>
    <row r="293" spans="1:15" x14ac:dyDescent="0.4">
      <c r="A293" s="1">
        <v>292</v>
      </c>
      <c r="D293" s="2"/>
      <c r="J293" s="2" t="s">
        <v>19</v>
      </c>
      <c r="K293" s="1" t="s">
        <v>20</v>
      </c>
      <c r="M293" s="6"/>
      <c r="N293" s="7"/>
      <c r="O293" s="7" t="e">
        <f t="shared" si="5"/>
        <v>#DIV/0!</v>
      </c>
    </row>
    <row r="294" spans="1:15" x14ac:dyDescent="0.4">
      <c r="A294" s="1">
        <v>293</v>
      </c>
      <c r="D294" s="2"/>
      <c r="J294" s="2" t="s">
        <v>19</v>
      </c>
      <c r="K294" s="1" t="s">
        <v>20</v>
      </c>
      <c r="M294" s="6"/>
      <c r="N294" s="7"/>
      <c r="O294" s="7" t="e">
        <f t="shared" si="5"/>
        <v>#DIV/0!</v>
      </c>
    </row>
    <row r="295" spans="1:15" x14ac:dyDescent="0.4">
      <c r="A295" s="1">
        <v>294</v>
      </c>
      <c r="D295" s="2"/>
      <c r="J295" s="2" t="s">
        <v>19</v>
      </c>
      <c r="K295" s="1" t="s">
        <v>20</v>
      </c>
      <c r="M295" s="6"/>
      <c r="N295" s="7"/>
      <c r="O295" s="7" t="e">
        <f t="shared" si="5"/>
        <v>#DIV/0!</v>
      </c>
    </row>
    <row r="296" spans="1:15" x14ac:dyDescent="0.4">
      <c r="A296" s="1">
        <v>295</v>
      </c>
      <c r="D296" s="2"/>
      <c r="J296" s="2" t="s">
        <v>19</v>
      </c>
      <c r="K296" s="1" t="s">
        <v>20</v>
      </c>
      <c r="M296" s="6"/>
      <c r="N296" s="7"/>
      <c r="O296" s="7" t="e">
        <f t="shared" si="5"/>
        <v>#DIV/0!</v>
      </c>
    </row>
    <row r="297" spans="1:15" x14ac:dyDescent="0.4">
      <c r="A297" s="1">
        <v>296</v>
      </c>
      <c r="D297" s="2"/>
      <c r="J297" s="2" t="s">
        <v>19</v>
      </c>
      <c r="K297" s="1" t="s">
        <v>20</v>
      </c>
      <c r="M297" s="6"/>
      <c r="N297" s="7"/>
      <c r="O297" s="7" t="e">
        <f t="shared" si="5"/>
        <v>#DIV/0!</v>
      </c>
    </row>
    <row r="298" spans="1:15" x14ac:dyDescent="0.4">
      <c r="A298" s="1">
        <v>297</v>
      </c>
      <c r="D298" s="2"/>
      <c r="J298" s="2" t="s">
        <v>19</v>
      </c>
      <c r="K298" s="1" t="s">
        <v>20</v>
      </c>
      <c r="M298" s="6"/>
      <c r="N298" s="7"/>
      <c r="O298" s="7" t="e">
        <f t="shared" si="5"/>
        <v>#DIV/0!</v>
      </c>
    </row>
    <row r="299" spans="1:15" x14ac:dyDescent="0.4">
      <c r="A299" s="1">
        <v>298</v>
      </c>
      <c r="D299" s="2"/>
      <c r="J299" s="2" t="s">
        <v>19</v>
      </c>
      <c r="K299" s="1" t="s">
        <v>20</v>
      </c>
      <c r="M299" s="6"/>
      <c r="N299" s="7"/>
      <c r="O299" s="7" t="e">
        <f t="shared" si="5"/>
        <v>#DIV/0!</v>
      </c>
    </row>
    <row r="300" spans="1:15" x14ac:dyDescent="0.4">
      <c r="A300" s="1">
        <v>299</v>
      </c>
      <c r="D300" s="2"/>
      <c r="J300" s="2" t="s">
        <v>19</v>
      </c>
      <c r="K300" s="1" t="s">
        <v>20</v>
      </c>
      <c r="M300" s="6"/>
      <c r="N300" s="7"/>
      <c r="O300" s="7" t="e">
        <f t="shared" si="5"/>
        <v>#DIV/0!</v>
      </c>
    </row>
    <row r="301" spans="1:15" x14ac:dyDescent="0.4">
      <c r="A301" s="1">
        <v>300</v>
      </c>
      <c r="D301" s="2"/>
      <c r="J301" s="2" t="s">
        <v>19</v>
      </c>
      <c r="K301" s="1" t="s">
        <v>20</v>
      </c>
      <c r="M301" s="6"/>
      <c r="N301" s="7"/>
      <c r="O301" s="7" t="e">
        <f t="shared" si="5"/>
        <v>#DIV/0!</v>
      </c>
    </row>
    <row r="302" spans="1:15" x14ac:dyDescent="0.4">
      <c r="A302" s="1">
        <v>301</v>
      </c>
      <c r="D302" s="2"/>
      <c r="J302" s="2" t="s">
        <v>19</v>
      </c>
      <c r="K302" s="1" t="s">
        <v>20</v>
      </c>
      <c r="M302" s="6"/>
      <c r="N302" s="7"/>
      <c r="O302" s="7" t="e">
        <f t="shared" si="5"/>
        <v>#DIV/0!</v>
      </c>
    </row>
    <row r="303" spans="1:15" x14ac:dyDescent="0.4">
      <c r="A303" s="1">
        <v>302</v>
      </c>
      <c r="D303" s="2"/>
      <c r="J303" s="2" t="s">
        <v>19</v>
      </c>
      <c r="K303" s="1" t="s">
        <v>20</v>
      </c>
      <c r="M303" s="6"/>
      <c r="N303" s="7"/>
      <c r="O303" s="7" t="e">
        <f t="shared" si="5"/>
        <v>#DIV/0!</v>
      </c>
    </row>
    <row r="304" spans="1:15" x14ac:dyDescent="0.4">
      <c r="A304" s="1">
        <v>303</v>
      </c>
      <c r="D304" s="2"/>
      <c r="J304" s="2" t="s">
        <v>19</v>
      </c>
      <c r="K304" s="1" t="s">
        <v>20</v>
      </c>
      <c r="M304" s="6"/>
      <c r="N304" s="7"/>
      <c r="O304" s="7" t="e">
        <f t="shared" si="5"/>
        <v>#DIV/0!</v>
      </c>
    </row>
    <row r="305" spans="1:15" x14ac:dyDescent="0.4">
      <c r="A305" s="1">
        <v>304</v>
      </c>
      <c r="D305" s="2"/>
      <c r="J305" s="2" t="s">
        <v>19</v>
      </c>
      <c r="K305" s="1" t="s">
        <v>20</v>
      </c>
      <c r="M305" s="6"/>
      <c r="N305" s="7"/>
      <c r="O305" s="7" t="e">
        <f t="shared" si="5"/>
        <v>#DIV/0!</v>
      </c>
    </row>
    <row r="306" spans="1:15" x14ac:dyDescent="0.4">
      <c r="A306" s="1">
        <v>305</v>
      </c>
      <c r="D306" s="2"/>
      <c r="J306" s="2" t="s">
        <v>19</v>
      </c>
      <c r="K306" s="1" t="s">
        <v>20</v>
      </c>
      <c r="M306" s="6"/>
      <c r="N306" s="7"/>
      <c r="O306" s="7" t="e">
        <f t="shared" si="5"/>
        <v>#DIV/0!</v>
      </c>
    </row>
    <row r="307" spans="1:15" x14ac:dyDescent="0.4">
      <c r="A307" s="1">
        <v>306</v>
      </c>
      <c r="D307" s="2"/>
      <c r="J307" s="2" t="s">
        <v>19</v>
      </c>
      <c r="K307" s="1" t="s">
        <v>20</v>
      </c>
      <c r="M307" s="6"/>
      <c r="N307" s="7"/>
      <c r="O307" s="7" t="e">
        <f t="shared" si="5"/>
        <v>#DIV/0!</v>
      </c>
    </row>
    <row r="308" spans="1:15" x14ac:dyDescent="0.4">
      <c r="A308" s="1">
        <v>307</v>
      </c>
      <c r="D308" s="2"/>
      <c r="J308" s="2" t="s">
        <v>19</v>
      </c>
      <c r="K308" s="1" t="s">
        <v>20</v>
      </c>
      <c r="M308" s="6"/>
      <c r="N308" s="7"/>
      <c r="O308" s="7" t="e">
        <f t="shared" si="5"/>
        <v>#DIV/0!</v>
      </c>
    </row>
    <row r="309" spans="1:15" x14ac:dyDescent="0.4">
      <c r="A309" s="1">
        <v>308</v>
      </c>
      <c r="D309" s="2"/>
      <c r="J309" s="2" t="s">
        <v>19</v>
      </c>
      <c r="K309" s="1" t="s">
        <v>20</v>
      </c>
      <c r="M309" s="6"/>
      <c r="N309" s="7"/>
      <c r="O309" s="7" t="e">
        <f t="shared" si="5"/>
        <v>#DIV/0!</v>
      </c>
    </row>
    <row r="310" spans="1:15" x14ac:dyDescent="0.4">
      <c r="A310" s="1">
        <v>309</v>
      </c>
      <c r="D310" s="2"/>
      <c r="J310" s="2" t="s">
        <v>19</v>
      </c>
      <c r="K310" s="1" t="s">
        <v>20</v>
      </c>
      <c r="M310" s="6"/>
      <c r="N310" s="7"/>
      <c r="O310" s="7" t="e">
        <f t="shared" si="5"/>
        <v>#DIV/0!</v>
      </c>
    </row>
    <row r="311" spans="1:15" x14ac:dyDescent="0.4">
      <c r="A311" s="1">
        <v>310</v>
      </c>
      <c r="D311" s="2"/>
      <c r="J311" s="2" t="s">
        <v>19</v>
      </c>
      <c r="K311" s="1" t="s">
        <v>20</v>
      </c>
      <c r="M311" s="6"/>
      <c r="N311" s="7"/>
      <c r="O311" s="7" t="e">
        <f t="shared" si="5"/>
        <v>#DIV/0!</v>
      </c>
    </row>
    <row r="312" spans="1:15" x14ac:dyDescent="0.4">
      <c r="A312" s="1">
        <v>311</v>
      </c>
      <c r="D312" s="2"/>
      <c r="J312" s="2" t="s">
        <v>19</v>
      </c>
      <c r="K312" s="1" t="s">
        <v>20</v>
      </c>
      <c r="M312" s="6"/>
      <c r="N312" s="7"/>
      <c r="O312" s="7" t="e">
        <f t="shared" si="5"/>
        <v>#DIV/0!</v>
      </c>
    </row>
    <row r="313" spans="1:15" x14ac:dyDescent="0.4">
      <c r="A313" s="1">
        <v>312</v>
      </c>
      <c r="D313" s="2"/>
      <c r="J313" s="2" t="s">
        <v>19</v>
      </c>
      <c r="K313" s="1" t="s">
        <v>20</v>
      </c>
      <c r="M313" s="6"/>
      <c r="N313" s="7"/>
      <c r="O313" s="7" t="e">
        <f t="shared" si="5"/>
        <v>#DIV/0!</v>
      </c>
    </row>
    <row r="314" spans="1:15" x14ac:dyDescent="0.4">
      <c r="A314" s="1">
        <v>313</v>
      </c>
      <c r="D314" s="2"/>
      <c r="J314" s="2" t="s">
        <v>19</v>
      </c>
      <c r="K314" s="1" t="s">
        <v>20</v>
      </c>
      <c r="M314" s="6"/>
      <c r="N314" s="7"/>
      <c r="O314" s="7" t="e">
        <f t="shared" si="5"/>
        <v>#DIV/0!</v>
      </c>
    </row>
    <row r="315" spans="1:15" x14ac:dyDescent="0.4">
      <c r="A315" s="1">
        <v>314</v>
      </c>
      <c r="D315" s="2"/>
      <c r="J315" s="2" t="s">
        <v>19</v>
      </c>
      <c r="K315" s="1" t="s">
        <v>20</v>
      </c>
      <c r="M315" s="6"/>
      <c r="N315" s="7"/>
      <c r="O315" s="7" t="e">
        <f t="shared" si="5"/>
        <v>#DIV/0!</v>
      </c>
    </row>
    <row r="316" spans="1:15" x14ac:dyDescent="0.4">
      <c r="A316" s="1">
        <v>315</v>
      </c>
      <c r="D316" s="2"/>
      <c r="J316" s="2" t="s">
        <v>19</v>
      </c>
      <c r="K316" s="1" t="s">
        <v>20</v>
      </c>
      <c r="M316" s="6"/>
      <c r="N316" s="7"/>
      <c r="O316" s="7" t="e">
        <f t="shared" si="5"/>
        <v>#DIV/0!</v>
      </c>
    </row>
    <row r="317" spans="1:15" x14ac:dyDescent="0.4">
      <c r="A317" s="1">
        <v>316</v>
      </c>
      <c r="D317" s="2"/>
      <c r="J317" s="2" t="s">
        <v>19</v>
      </c>
      <c r="K317" s="1" t="s">
        <v>20</v>
      </c>
      <c r="M317" s="6"/>
      <c r="N317" s="7"/>
      <c r="O317" s="7" t="e">
        <f t="shared" si="5"/>
        <v>#DIV/0!</v>
      </c>
    </row>
    <row r="318" spans="1:15" x14ac:dyDescent="0.4">
      <c r="A318" s="1">
        <v>317</v>
      </c>
      <c r="D318" s="2"/>
      <c r="J318" s="2" t="s">
        <v>19</v>
      </c>
      <c r="K318" s="1" t="s">
        <v>20</v>
      </c>
      <c r="M318" s="6"/>
      <c r="N318" s="7"/>
      <c r="O318" s="7" t="e">
        <f t="shared" si="5"/>
        <v>#DIV/0!</v>
      </c>
    </row>
    <row r="319" spans="1:15" x14ac:dyDescent="0.4">
      <c r="A319" s="1">
        <v>318</v>
      </c>
      <c r="D319" s="2"/>
      <c r="J319" s="2" t="s">
        <v>19</v>
      </c>
      <c r="K319" s="1" t="s">
        <v>20</v>
      </c>
      <c r="M319" s="6"/>
      <c r="N319" s="7"/>
      <c r="O319" s="7" t="e">
        <f t="shared" si="5"/>
        <v>#DIV/0!</v>
      </c>
    </row>
    <row r="320" spans="1:15" x14ac:dyDescent="0.4">
      <c r="A320" s="1">
        <v>319</v>
      </c>
      <c r="D320" s="2"/>
      <c r="J320" s="2" t="s">
        <v>19</v>
      </c>
      <c r="K320" s="1" t="s">
        <v>20</v>
      </c>
      <c r="M320" s="6"/>
      <c r="N320" s="7"/>
      <c r="O320" s="7" t="e">
        <f t="shared" si="5"/>
        <v>#DIV/0!</v>
      </c>
    </row>
    <row r="321" spans="1:15" x14ac:dyDescent="0.4">
      <c r="A321" s="1">
        <v>320</v>
      </c>
      <c r="D321" s="2"/>
      <c r="J321" s="2" t="s">
        <v>19</v>
      </c>
      <c r="K321" s="1" t="s">
        <v>20</v>
      </c>
      <c r="M321" s="6"/>
      <c r="N321" s="7"/>
      <c r="O321" s="7" t="e">
        <f t="shared" si="5"/>
        <v>#DIV/0!</v>
      </c>
    </row>
    <row r="322" spans="1:15" x14ac:dyDescent="0.4">
      <c r="A322" s="1">
        <v>321</v>
      </c>
      <c r="D322" s="2"/>
      <c r="J322" s="2" t="s">
        <v>19</v>
      </c>
      <c r="K322" s="1" t="s">
        <v>20</v>
      </c>
      <c r="M322" s="6"/>
      <c r="N322" s="7"/>
      <c r="O322" s="7" t="e">
        <f t="shared" ref="O322:O385" si="6">N322/M322</f>
        <v>#DIV/0!</v>
      </c>
    </row>
    <row r="323" spans="1:15" x14ac:dyDescent="0.4">
      <c r="A323" s="1">
        <v>322</v>
      </c>
      <c r="D323" s="2"/>
      <c r="J323" s="2" t="s">
        <v>19</v>
      </c>
      <c r="K323" s="1" t="s">
        <v>20</v>
      </c>
      <c r="M323" s="6"/>
      <c r="N323" s="7"/>
      <c r="O323" s="7" t="e">
        <f t="shared" si="6"/>
        <v>#DIV/0!</v>
      </c>
    </row>
    <row r="324" spans="1:15" x14ac:dyDescent="0.4">
      <c r="A324" s="1">
        <v>323</v>
      </c>
      <c r="D324" s="2"/>
      <c r="J324" s="2" t="s">
        <v>19</v>
      </c>
      <c r="K324" s="1" t="s">
        <v>20</v>
      </c>
      <c r="M324" s="6"/>
      <c r="N324" s="7"/>
      <c r="O324" s="7" t="e">
        <f t="shared" si="6"/>
        <v>#DIV/0!</v>
      </c>
    </row>
    <row r="325" spans="1:15" x14ac:dyDescent="0.4">
      <c r="A325" s="1">
        <v>324</v>
      </c>
      <c r="D325" s="2"/>
      <c r="J325" s="2" t="s">
        <v>19</v>
      </c>
      <c r="K325" s="1" t="s">
        <v>20</v>
      </c>
      <c r="M325" s="6"/>
      <c r="N325" s="7"/>
      <c r="O325" s="7" t="e">
        <f t="shared" si="6"/>
        <v>#DIV/0!</v>
      </c>
    </row>
    <row r="326" spans="1:15" x14ac:dyDescent="0.4">
      <c r="A326" s="1">
        <v>325</v>
      </c>
      <c r="D326" s="2"/>
      <c r="J326" s="2" t="s">
        <v>19</v>
      </c>
      <c r="K326" s="1" t="s">
        <v>20</v>
      </c>
      <c r="M326" s="6"/>
      <c r="N326" s="7"/>
      <c r="O326" s="7" t="e">
        <f t="shared" si="6"/>
        <v>#DIV/0!</v>
      </c>
    </row>
    <row r="327" spans="1:15" x14ac:dyDescent="0.4">
      <c r="A327" s="1">
        <v>326</v>
      </c>
      <c r="D327" s="2"/>
      <c r="J327" s="2" t="s">
        <v>19</v>
      </c>
      <c r="K327" s="1" t="s">
        <v>20</v>
      </c>
      <c r="M327" s="6"/>
      <c r="N327" s="7"/>
      <c r="O327" s="7" t="e">
        <f t="shared" si="6"/>
        <v>#DIV/0!</v>
      </c>
    </row>
    <row r="328" spans="1:15" x14ac:dyDescent="0.4">
      <c r="A328" s="1">
        <v>327</v>
      </c>
      <c r="D328" s="2"/>
      <c r="J328" s="2" t="s">
        <v>19</v>
      </c>
      <c r="K328" s="1" t="s">
        <v>20</v>
      </c>
      <c r="M328" s="6"/>
      <c r="N328" s="7"/>
      <c r="O328" s="7" t="e">
        <f t="shared" si="6"/>
        <v>#DIV/0!</v>
      </c>
    </row>
    <row r="329" spans="1:15" x14ac:dyDescent="0.4">
      <c r="A329" s="1">
        <v>328</v>
      </c>
      <c r="D329" s="2"/>
      <c r="J329" s="2" t="s">
        <v>19</v>
      </c>
      <c r="K329" s="1" t="s">
        <v>20</v>
      </c>
      <c r="M329" s="6"/>
      <c r="N329" s="7"/>
      <c r="O329" s="7" t="e">
        <f t="shared" si="6"/>
        <v>#DIV/0!</v>
      </c>
    </row>
    <row r="330" spans="1:15" x14ac:dyDescent="0.4">
      <c r="A330" s="1">
        <v>329</v>
      </c>
      <c r="D330" s="2"/>
      <c r="J330" s="2" t="s">
        <v>19</v>
      </c>
      <c r="K330" s="1" t="s">
        <v>20</v>
      </c>
      <c r="M330" s="6"/>
      <c r="N330" s="7"/>
      <c r="O330" s="7" t="e">
        <f t="shared" si="6"/>
        <v>#DIV/0!</v>
      </c>
    </row>
    <row r="331" spans="1:15" x14ac:dyDescent="0.4">
      <c r="A331" s="1">
        <v>330</v>
      </c>
      <c r="D331" s="2"/>
      <c r="J331" s="2" t="s">
        <v>19</v>
      </c>
      <c r="K331" s="1" t="s">
        <v>20</v>
      </c>
      <c r="M331" s="6"/>
      <c r="N331" s="7"/>
      <c r="O331" s="7" t="e">
        <f t="shared" si="6"/>
        <v>#DIV/0!</v>
      </c>
    </row>
    <row r="332" spans="1:15" x14ac:dyDescent="0.4">
      <c r="A332" s="1">
        <v>331</v>
      </c>
      <c r="D332" s="2"/>
      <c r="J332" s="2" t="s">
        <v>19</v>
      </c>
      <c r="K332" s="1" t="s">
        <v>20</v>
      </c>
      <c r="M332" s="6"/>
      <c r="N332" s="7"/>
      <c r="O332" s="7" t="e">
        <f t="shared" si="6"/>
        <v>#DIV/0!</v>
      </c>
    </row>
    <row r="333" spans="1:15" x14ac:dyDescent="0.4">
      <c r="A333" s="1">
        <v>332</v>
      </c>
      <c r="D333" s="2"/>
      <c r="J333" s="2" t="s">
        <v>19</v>
      </c>
      <c r="K333" s="1" t="s">
        <v>20</v>
      </c>
      <c r="M333" s="6"/>
      <c r="N333" s="7"/>
      <c r="O333" s="7" t="e">
        <f t="shared" si="6"/>
        <v>#DIV/0!</v>
      </c>
    </row>
    <row r="334" spans="1:15" x14ac:dyDescent="0.4">
      <c r="A334" s="1">
        <v>333</v>
      </c>
      <c r="D334" s="2"/>
      <c r="J334" s="2" t="s">
        <v>19</v>
      </c>
      <c r="K334" s="1" t="s">
        <v>20</v>
      </c>
      <c r="M334" s="6"/>
      <c r="N334" s="7"/>
      <c r="O334" s="7" t="e">
        <f t="shared" si="6"/>
        <v>#DIV/0!</v>
      </c>
    </row>
    <row r="335" spans="1:15" x14ac:dyDescent="0.4">
      <c r="A335" s="1">
        <v>334</v>
      </c>
      <c r="D335" s="2"/>
      <c r="J335" s="2" t="s">
        <v>19</v>
      </c>
      <c r="K335" s="1" t="s">
        <v>20</v>
      </c>
      <c r="M335" s="6"/>
      <c r="N335" s="7"/>
      <c r="O335" s="7" t="e">
        <f t="shared" si="6"/>
        <v>#DIV/0!</v>
      </c>
    </row>
    <row r="336" spans="1:15" x14ac:dyDescent="0.4">
      <c r="A336" s="1">
        <v>335</v>
      </c>
      <c r="D336" s="2"/>
      <c r="J336" s="2" t="s">
        <v>19</v>
      </c>
      <c r="K336" s="1" t="s">
        <v>20</v>
      </c>
      <c r="M336" s="6"/>
      <c r="N336" s="7"/>
      <c r="O336" s="7" t="e">
        <f t="shared" si="6"/>
        <v>#DIV/0!</v>
      </c>
    </row>
    <row r="337" spans="1:15" x14ac:dyDescent="0.4">
      <c r="A337" s="1">
        <v>336</v>
      </c>
      <c r="D337" s="2"/>
      <c r="J337" s="2" t="s">
        <v>19</v>
      </c>
      <c r="K337" s="1" t="s">
        <v>20</v>
      </c>
      <c r="M337" s="6"/>
      <c r="N337" s="7"/>
      <c r="O337" s="7" t="e">
        <f t="shared" si="6"/>
        <v>#DIV/0!</v>
      </c>
    </row>
    <row r="338" spans="1:15" x14ac:dyDescent="0.4">
      <c r="A338" s="1">
        <v>337</v>
      </c>
      <c r="D338" s="2"/>
      <c r="J338" s="2" t="s">
        <v>19</v>
      </c>
      <c r="K338" s="1" t="s">
        <v>20</v>
      </c>
      <c r="M338" s="6"/>
      <c r="N338" s="7"/>
      <c r="O338" s="7" t="e">
        <f t="shared" si="6"/>
        <v>#DIV/0!</v>
      </c>
    </row>
    <row r="339" spans="1:15" x14ac:dyDescent="0.4">
      <c r="A339" s="1">
        <v>338</v>
      </c>
      <c r="D339" s="2"/>
      <c r="J339" s="2" t="s">
        <v>19</v>
      </c>
      <c r="K339" s="1" t="s">
        <v>20</v>
      </c>
      <c r="M339" s="6"/>
      <c r="N339" s="7"/>
      <c r="O339" s="7" t="e">
        <f t="shared" si="6"/>
        <v>#DIV/0!</v>
      </c>
    </row>
    <row r="340" spans="1:15" x14ac:dyDescent="0.4">
      <c r="A340" s="1">
        <v>339</v>
      </c>
      <c r="D340" s="2"/>
      <c r="J340" s="2" t="s">
        <v>19</v>
      </c>
      <c r="K340" s="1" t="s">
        <v>20</v>
      </c>
      <c r="M340" s="6"/>
      <c r="N340" s="7"/>
      <c r="O340" s="7" t="e">
        <f t="shared" si="6"/>
        <v>#DIV/0!</v>
      </c>
    </row>
    <row r="341" spans="1:15" x14ac:dyDescent="0.4">
      <c r="A341" s="1">
        <v>340</v>
      </c>
      <c r="D341" s="2"/>
      <c r="J341" s="2" t="s">
        <v>19</v>
      </c>
      <c r="K341" s="1" t="s">
        <v>20</v>
      </c>
      <c r="M341" s="6"/>
      <c r="N341" s="7"/>
      <c r="O341" s="7" t="e">
        <f t="shared" si="6"/>
        <v>#DIV/0!</v>
      </c>
    </row>
    <row r="342" spans="1:15" x14ac:dyDescent="0.4">
      <c r="A342" s="1">
        <v>341</v>
      </c>
      <c r="D342" s="2"/>
      <c r="J342" s="2" t="s">
        <v>19</v>
      </c>
      <c r="K342" s="1" t="s">
        <v>20</v>
      </c>
      <c r="M342" s="6"/>
      <c r="N342" s="7"/>
      <c r="O342" s="7" t="e">
        <f t="shared" si="6"/>
        <v>#DIV/0!</v>
      </c>
    </row>
    <row r="343" spans="1:15" x14ac:dyDescent="0.4">
      <c r="A343" s="1">
        <v>342</v>
      </c>
      <c r="D343" s="2"/>
      <c r="J343" s="2" t="s">
        <v>19</v>
      </c>
      <c r="K343" s="1" t="s">
        <v>20</v>
      </c>
      <c r="M343" s="6"/>
      <c r="N343" s="7"/>
      <c r="O343" s="7" t="e">
        <f t="shared" si="6"/>
        <v>#DIV/0!</v>
      </c>
    </row>
    <row r="344" spans="1:15" x14ac:dyDescent="0.4">
      <c r="A344" s="1">
        <v>343</v>
      </c>
      <c r="D344" s="2"/>
      <c r="J344" s="2" t="s">
        <v>19</v>
      </c>
      <c r="K344" s="1" t="s">
        <v>20</v>
      </c>
      <c r="M344" s="6"/>
      <c r="N344" s="7"/>
      <c r="O344" s="7" t="e">
        <f t="shared" si="6"/>
        <v>#DIV/0!</v>
      </c>
    </row>
    <row r="345" spans="1:15" x14ac:dyDescent="0.4">
      <c r="A345" s="1">
        <v>344</v>
      </c>
      <c r="D345" s="2"/>
      <c r="J345" s="2" t="s">
        <v>19</v>
      </c>
      <c r="K345" s="1" t="s">
        <v>20</v>
      </c>
      <c r="M345" s="6"/>
      <c r="N345" s="7"/>
      <c r="O345" s="7" t="e">
        <f t="shared" si="6"/>
        <v>#DIV/0!</v>
      </c>
    </row>
    <row r="346" spans="1:15" x14ac:dyDescent="0.4">
      <c r="A346" s="1">
        <v>345</v>
      </c>
      <c r="D346" s="2"/>
      <c r="J346" s="2" t="s">
        <v>19</v>
      </c>
      <c r="K346" s="1" t="s">
        <v>20</v>
      </c>
      <c r="M346" s="6"/>
      <c r="N346" s="7"/>
      <c r="O346" s="7" t="e">
        <f t="shared" si="6"/>
        <v>#DIV/0!</v>
      </c>
    </row>
    <row r="347" spans="1:15" x14ac:dyDescent="0.4">
      <c r="A347" s="1">
        <v>346</v>
      </c>
      <c r="D347" s="2"/>
      <c r="J347" s="2" t="s">
        <v>19</v>
      </c>
      <c r="K347" s="1" t="s">
        <v>20</v>
      </c>
      <c r="M347" s="6"/>
      <c r="N347" s="7"/>
      <c r="O347" s="7" t="e">
        <f t="shared" si="6"/>
        <v>#DIV/0!</v>
      </c>
    </row>
    <row r="348" spans="1:15" x14ac:dyDescent="0.4">
      <c r="A348" s="1">
        <v>347</v>
      </c>
      <c r="D348" s="2"/>
      <c r="J348" s="2" t="s">
        <v>19</v>
      </c>
      <c r="K348" s="1" t="s">
        <v>20</v>
      </c>
      <c r="M348" s="6"/>
      <c r="N348" s="7"/>
      <c r="O348" s="7" t="e">
        <f t="shared" si="6"/>
        <v>#DIV/0!</v>
      </c>
    </row>
    <row r="349" spans="1:15" x14ac:dyDescent="0.4">
      <c r="A349" s="1">
        <v>348</v>
      </c>
      <c r="D349" s="2"/>
      <c r="J349" s="2" t="s">
        <v>19</v>
      </c>
      <c r="K349" s="1" t="s">
        <v>20</v>
      </c>
      <c r="M349" s="6"/>
      <c r="N349" s="7"/>
      <c r="O349" s="7" t="e">
        <f t="shared" si="6"/>
        <v>#DIV/0!</v>
      </c>
    </row>
    <row r="350" spans="1:15" x14ac:dyDescent="0.4">
      <c r="A350" s="1">
        <v>349</v>
      </c>
      <c r="D350" s="2"/>
      <c r="J350" s="2" t="s">
        <v>19</v>
      </c>
      <c r="K350" s="1" t="s">
        <v>20</v>
      </c>
      <c r="M350" s="6"/>
      <c r="N350" s="7"/>
      <c r="O350" s="7" t="e">
        <f t="shared" si="6"/>
        <v>#DIV/0!</v>
      </c>
    </row>
    <row r="351" spans="1:15" x14ac:dyDescent="0.4">
      <c r="A351" s="1">
        <v>350</v>
      </c>
      <c r="D351" s="2"/>
      <c r="J351" s="2" t="s">
        <v>19</v>
      </c>
      <c r="K351" s="1" t="s">
        <v>20</v>
      </c>
      <c r="M351" s="6"/>
      <c r="N351" s="7"/>
      <c r="O351" s="7" t="e">
        <f t="shared" si="6"/>
        <v>#DIV/0!</v>
      </c>
    </row>
    <row r="352" spans="1:15" x14ac:dyDescent="0.4">
      <c r="A352" s="1">
        <v>351</v>
      </c>
      <c r="D352" s="2"/>
      <c r="J352" s="2" t="s">
        <v>19</v>
      </c>
      <c r="K352" s="1" t="s">
        <v>20</v>
      </c>
      <c r="M352" s="6"/>
      <c r="N352" s="7"/>
      <c r="O352" s="7" t="e">
        <f t="shared" si="6"/>
        <v>#DIV/0!</v>
      </c>
    </row>
    <row r="353" spans="1:15" x14ac:dyDescent="0.4">
      <c r="A353" s="1">
        <v>352</v>
      </c>
      <c r="D353" s="2"/>
      <c r="J353" s="2" t="s">
        <v>19</v>
      </c>
      <c r="K353" s="1" t="s">
        <v>20</v>
      </c>
      <c r="M353" s="6"/>
      <c r="N353" s="7"/>
      <c r="O353" s="7" t="e">
        <f t="shared" si="6"/>
        <v>#DIV/0!</v>
      </c>
    </row>
    <row r="354" spans="1:15" x14ac:dyDescent="0.4">
      <c r="A354" s="1">
        <v>353</v>
      </c>
      <c r="D354" s="2"/>
      <c r="J354" s="2" t="s">
        <v>19</v>
      </c>
      <c r="K354" s="1" t="s">
        <v>20</v>
      </c>
      <c r="M354" s="6"/>
      <c r="N354" s="7"/>
      <c r="O354" s="7" t="e">
        <f t="shared" si="6"/>
        <v>#DIV/0!</v>
      </c>
    </row>
    <row r="355" spans="1:15" x14ac:dyDescent="0.4">
      <c r="A355" s="1">
        <v>354</v>
      </c>
      <c r="D355" s="2"/>
      <c r="J355" s="2" t="s">
        <v>19</v>
      </c>
      <c r="K355" s="1" t="s">
        <v>20</v>
      </c>
      <c r="M355" s="6"/>
      <c r="N355" s="7"/>
      <c r="O355" s="7" t="e">
        <f t="shared" si="6"/>
        <v>#DIV/0!</v>
      </c>
    </row>
    <row r="356" spans="1:15" x14ac:dyDescent="0.4">
      <c r="A356" s="1">
        <v>355</v>
      </c>
      <c r="D356" s="2"/>
      <c r="J356" s="2" t="s">
        <v>19</v>
      </c>
      <c r="K356" s="1" t="s">
        <v>20</v>
      </c>
      <c r="M356" s="6"/>
      <c r="N356" s="7"/>
      <c r="O356" s="7" t="e">
        <f t="shared" si="6"/>
        <v>#DIV/0!</v>
      </c>
    </row>
    <row r="357" spans="1:15" x14ac:dyDescent="0.4">
      <c r="A357" s="1">
        <v>356</v>
      </c>
      <c r="D357" s="2"/>
      <c r="J357" s="2" t="s">
        <v>19</v>
      </c>
      <c r="K357" s="1" t="s">
        <v>20</v>
      </c>
      <c r="M357" s="6"/>
      <c r="N357" s="7"/>
      <c r="O357" s="7" t="e">
        <f t="shared" si="6"/>
        <v>#DIV/0!</v>
      </c>
    </row>
    <row r="358" spans="1:15" x14ac:dyDescent="0.4">
      <c r="A358" s="1">
        <v>357</v>
      </c>
      <c r="D358" s="2"/>
      <c r="J358" s="2" t="s">
        <v>19</v>
      </c>
      <c r="K358" s="1" t="s">
        <v>20</v>
      </c>
      <c r="M358" s="6"/>
      <c r="N358" s="7"/>
      <c r="O358" s="7" t="e">
        <f t="shared" si="6"/>
        <v>#DIV/0!</v>
      </c>
    </row>
    <row r="359" spans="1:15" x14ac:dyDescent="0.4">
      <c r="A359" s="1">
        <v>358</v>
      </c>
      <c r="D359" s="2"/>
      <c r="J359" s="2" t="s">
        <v>19</v>
      </c>
      <c r="K359" s="1" t="s">
        <v>20</v>
      </c>
      <c r="M359" s="6"/>
      <c r="N359" s="7"/>
      <c r="O359" s="7" t="e">
        <f t="shared" si="6"/>
        <v>#DIV/0!</v>
      </c>
    </row>
    <row r="360" spans="1:15" x14ac:dyDescent="0.4">
      <c r="A360" s="1">
        <v>359</v>
      </c>
      <c r="D360" s="2"/>
      <c r="J360" s="2" t="s">
        <v>19</v>
      </c>
      <c r="K360" s="1" t="s">
        <v>20</v>
      </c>
      <c r="M360" s="6"/>
      <c r="N360" s="7"/>
      <c r="O360" s="7" t="e">
        <f t="shared" si="6"/>
        <v>#DIV/0!</v>
      </c>
    </row>
    <row r="361" spans="1:15" x14ac:dyDescent="0.4">
      <c r="A361" s="1">
        <v>360</v>
      </c>
      <c r="D361" s="2"/>
      <c r="J361" s="2" t="s">
        <v>19</v>
      </c>
      <c r="K361" s="1" t="s">
        <v>20</v>
      </c>
      <c r="M361" s="6"/>
      <c r="N361" s="7"/>
      <c r="O361" s="7" t="e">
        <f t="shared" si="6"/>
        <v>#DIV/0!</v>
      </c>
    </row>
    <row r="362" spans="1:15" x14ac:dyDescent="0.4">
      <c r="A362" s="1">
        <v>361</v>
      </c>
      <c r="D362" s="2"/>
      <c r="J362" s="2" t="s">
        <v>19</v>
      </c>
      <c r="K362" s="1" t="s">
        <v>20</v>
      </c>
      <c r="M362" s="6"/>
      <c r="N362" s="7"/>
      <c r="O362" s="7" t="e">
        <f t="shared" si="6"/>
        <v>#DIV/0!</v>
      </c>
    </row>
    <row r="363" spans="1:15" x14ac:dyDescent="0.4">
      <c r="A363" s="1">
        <v>362</v>
      </c>
      <c r="D363" s="2"/>
      <c r="J363" s="2" t="s">
        <v>19</v>
      </c>
      <c r="K363" s="1" t="s">
        <v>20</v>
      </c>
      <c r="M363" s="6"/>
      <c r="N363" s="7"/>
      <c r="O363" s="7" t="e">
        <f t="shared" si="6"/>
        <v>#DIV/0!</v>
      </c>
    </row>
    <row r="364" spans="1:15" x14ac:dyDescent="0.4">
      <c r="A364" s="1">
        <v>363</v>
      </c>
      <c r="D364" s="2"/>
      <c r="J364" s="2" t="s">
        <v>19</v>
      </c>
      <c r="K364" s="1" t="s">
        <v>20</v>
      </c>
      <c r="M364" s="6"/>
      <c r="N364" s="7"/>
      <c r="O364" s="7" t="e">
        <f t="shared" si="6"/>
        <v>#DIV/0!</v>
      </c>
    </row>
    <row r="365" spans="1:15" x14ac:dyDescent="0.4">
      <c r="A365" s="1">
        <v>364</v>
      </c>
      <c r="D365" s="2"/>
      <c r="J365" s="2" t="s">
        <v>19</v>
      </c>
      <c r="K365" s="1" t="s">
        <v>20</v>
      </c>
      <c r="M365" s="6"/>
      <c r="N365" s="7"/>
      <c r="O365" s="7" t="e">
        <f t="shared" si="6"/>
        <v>#DIV/0!</v>
      </c>
    </row>
    <row r="366" spans="1:15" x14ac:dyDescent="0.4">
      <c r="A366" s="1">
        <v>365</v>
      </c>
      <c r="D366" s="2"/>
      <c r="J366" s="2" t="s">
        <v>19</v>
      </c>
      <c r="K366" s="1" t="s">
        <v>20</v>
      </c>
      <c r="M366" s="6"/>
      <c r="N366" s="7"/>
      <c r="O366" s="7" t="e">
        <f t="shared" si="6"/>
        <v>#DIV/0!</v>
      </c>
    </row>
    <row r="367" spans="1:15" x14ac:dyDescent="0.4">
      <c r="A367" s="1">
        <v>366</v>
      </c>
      <c r="D367" s="2"/>
      <c r="J367" s="2" t="s">
        <v>19</v>
      </c>
      <c r="K367" s="1" t="s">
        <v>20</v>
      </c>
      <c r="M367" s="6"/>
      <c r="N367" s="7"/>
      <c r="O367" s="7" t="e">
        <f t="shared" si="6"/>
        <v>#DIV/0!</v>
      </c>
    </row>
    <row r="368" spans="1:15" x14ac:dyDescent="0.4">
      <c r="A368" s="1">
        <v>367</v>
      </c>
      <c r="D368" s="2"/>
      <c r="J368" s="2" t="s">
        <v>19</v>
      </c>
      <c r="K368" s="1" t="s">
        <v>20</v>
      </c>
      <c r="M368" s="6"/>
      <c r="N368" s="7"/>
      <c r="O368" s="7" t="e">
        <f t="shared" si="6"/>
        <v>#DIV/0!</v>
      </c>
    </row>
    <row r="369" spans="1:15" x14ac:dyDescent="0.4">
      <c r="A369" s="1">
        <v>368</v>
      </c>
      <c r="D369" s="2"/>
      <c r="J369" s="2" t="s">
        <v>19</v>
      </c>
      <c r="K369" s="1" t="s">
        <v>20</v>
      </c>
      <c r="M369" s="6"/>
      <c r="N369" s="7"/>
      <c r="O369" s="7" t="e">
        <f t="shared" si="6"/>
        <v>#DIV/0!</v>
      </c>
    </row>
    <row r="370" spans="1:15" x14ac:dyDescent="0.4">
      <c r="A370" s="1">
        <v>369</v>
      </c>
      <c r="D370" s="2"/>
      <c r="J370" s="2" t="s">
        <v>19</v>
      </c>
      <c r="K370" s="1" t="s">
        <v>20</v>
      </c>
      <c r="M370" s="6"/>
      <c r="N370" s="7"/>
      <c r="O370" s="7" t="e">
        <f t="shared" si="6"/>
        <v>#DIV/0!</v>
      </c>
    </row>
    <row r="371" spans="1:15" x14ac:dyDescent="0.4">
      <c r="A371" s="1">
        <v>370</v>
      </c>
      <c r="D371" s="2"/>
      <c r="J371" s="2" t="s">
        <v>19</v>
      </c>
      <c r="K371" s="1" t="s">
        <v>20</v>
      </c>
      <c r="M371" s="6"/>
      <c r="N371" s="7"/>
      <c r="O371" s="7" t="e">
        <f t="shared" si="6"/>
        <v>#DIV/0!</v>
      </c>
    </row>
    <row r="372" spans="1:15" x14ac:dyDescent="0.4">
      <c r="A372" s="1">
        <v>371</v>
      </c>
      <c r="D372" s="2"/>
      <c r="J372" s="2" t="s">
        <v>19</v>
      </c>
      <c r="K372" s="1" t="s">
        <v>20</v>
      </c>
      <c r="M372" s="6"/>
      <c r="N372" s="7"/>
      <c r="O372" s="7" t="e">
        <f t="shared" si="6"/>
        <v>#DIV/0!</v>
      </c>
    </row>
    <row r="373" spans="1:15" x14ac:dyDescent="0.4">
      <c r="A373" s="1">
        <v>372</v>
      </c>
      <c r="D373" s="2"/>
      <c r="J373" s="2" t="s">
        <v>19</v>
      </c>
      <c r="K373" s="1" t="s">
        <v>20</v>
      </c>
      <c r="M373" s="6"/>
      <c r="N373" s="7"/>
      <c r="O373" s="7" t="e">
        <f t="shared" si="6"/>
        <v>#DIV/0!</v>
      </c>
    </row>
    <row r="374" spans="1:15" x14ac:dyDescent="0.4">
      <c r="A374" s="1">
        <v>373</v>
      </c>
      <c r="D374" s="2"/>
      <c r="J374" s="2" t="s">
        <v>19</v>
      </c>
      <c r="K374" s="1" t="s">
        <v>20</v>
      </c>
      <c r="M374" s="6"/>
      <c r="N374" s="7"/>
      <c r="O374" s="7" t="e">
        <f t="shared" si="6"/>
        <v>#DIV/0!</v>
      </c>
    </row>
    <row r="375" spans="1:15" x14ac:dyDescent="0.4">
      <c r="A375" s="1">
        <v>374</v>
      </c>
      <c r="D375" s="2"/>
      <c r="J375" s="2" t="s">
        <v>19</v>
      </c>
      <c r="K375" s="1" t="s">
        <v>20</v>
      </c>
      <c r="M375" s="6"/>
      <c r="N375" s="7"/>
      <c r="O375" s="7" t="e">
        <f t="shared" si="6"/>
        <v>#DIV/0!</v>
      </c>
    </row>
    <row r="376" spans="1:15" x14ac:dyDescent="0.4">
      <c r="A376" s="1">
        <v>375</v>
      </c>
      <c r="D376" s="2"/>
      <c r="J376" s="2" t="s">
        <v>19</v>
      </c>
      <c r="K376" s="1" t="s">
        <v>20</v>
      </c>
      <c r="M376" s="6"/>
      <c r="N376" s="7"/>
      <c r="O376" s="7" t="e">
        <f t="shared" si="6"/>
        <v>#DIV/0!</v>
      </c>
    </row>
    <row r="377" spans="1:15" x14ac:dyDescent="0.4">
      <c r="A377" s="1">
        <v>376</v>
      </c>
      <c r="D377" s="2"/>
      <c r="J377" s="2" t="s">
        <v>19</v>
      </c>
      <c r="K377" s="1" t="s">
        <v>20</v>
      </c>
      <c r="M377" s="6"/>
      <c r="N377" s="7"/>
      <c r="O377" s="7" t="e">
        <f t="shared" si="6"/>
        <v>#DIV/0!</v>
      </c>
    </row>
    <row r="378" spans="1:15" x14ac:dyDescent="0.4">
      <c r="A378" s="1">
        <v>377</v>
      </c>
      <c r="D378" s="2"/>
      <c r="J378" s="2" t="s">
        <v>19</v>
      </c>
      <c r="K378" s="1" t="s">
        <v>20</v>
      </c>
      <c r="M378" s="6"/>
      <c r="N378" s="7"/>
      <c r="O378" s="7" t="e">
        <f t="shared" si="6"/>
        <v>#DIV/0!</v>
      </c>
    </row>
    <row r="379" spans="1:15" x14ac:dyDescent="0.4">
      <c r="A379" s="1">
        <v>378</v>
      </c>
      <c r="D379" s="2"/>
      <c r="J379" s="2" t="s">
        <v>19</v>
      </c>
      <c r="K379" s="1" t="s">
        <v>20</v>
      </c>
      <c r="M379" s="6"/>
      <c r="N379" s="7"/>
      <c r="O379" s="7" t="e">
        <f t="shared" si="6"/>
        <v>#DIV/0!</v>
      </c>
    </row>
    <row r="380" spans="1:15" x14ac:dyDescent="0.4">
      <c r="A380" s="1">
        <v>379</v>
      </c>
      <c r="D380" s="2"/>
      <c r="J380" s="2" t="s">
        <v>19</v>
      </c>
      <c r="K380" s="1" t="s">
        <v>20</v>
      </c>
      <c r="M380" s="6"/>
      <c r="N380" s="7"/>
      <c r="O380" s="7" t="e">
        <f t="shared" si="6"/>
        <v>#DIV/0!</v>
      </c>
    </row>
    <row r="381" spans="1:15" x14ac:dyDescent="0.4">
      <c r="A381" s="1">
        <v>380</v>
      </c>
      <c r="D381" s="2"/>
      <c r="J381" s="2" t="s">
        <v>19</v>
      </c>
      <c r="K381" s="1" t="s">
        <v>20</v>
      </c>
      <c r="M381" s="6"/>
      <c r="N381" s="7"/>
      <c r="O381" s="7" t="e">
        <f t="shared" si="6"/>
        <v>#DIV/0!</v>
      </c>
    </row>
    <row r="382" spans="1:15" x14ac:dyDescent="0.4">
      <c r="A382" s="1">
        <v>381</v>
      </c>
      <c r="D382" s="2"/>
      <c r="J382" s="2" t="s">
        <v>19</v>
      </c>
      <c r="K382" s="1" t="s">
        <v>20</v>
      </c>
      <c r="M382" s="6"/>
      <c r="N382" s="7"/>
      <c r="O382" s="7" t="e">
        <f t="shared" si="6"/>
        <v>#DIV/0!</v>
      </c>
    </row>
    <row r="383" spans="1:15" x14ac:dyDescent="0.4">
      <c r="A383" s="1">
        <v>382</v>
      </c>
      <c r="D383" s="2"/>
      <c r="J383" s="2" t="s">
        <v>19</v>
      </c>
      <c r="K383" s="1" t="s">
        <v>20</v>
      </c>
      <c r="M383" s="6"/>
      <c r="N383" s="7"/>
      <c r="O383" s="7" t="e">
        <f t="shared" si="6"/>
        <v>#DIV/0!</v>
      </c>
    </row>
    <row r="384" spans="1:15" x14ac:dyDescent="0.4">
      <c r="A384" s="1">
        <v>383</v>
      </c>
      <c r="D384" s="2"/>
      <c r="J384" s="2" t="s">
        <v>19</v>
      </c>
      <c r="K384" s="1" t="s">
        <v>20</v>
      </c>
      <c r="M384" s="6"/>
      <c r="N384" s="7"/>
      <c r="O384" s="7" t="e">
        <f t="shared" si="6"/>
        <v>#DIV/0!</v>
      </c>
    </row>
    <row r="385" spans="1:15" x14ac:dyDescent="0.4">
      <c r="A385" s="1">
        <v>384</v>
      </c>
      <c r="D385" s="2"/>
      <c r="J385" s="2" t="s">
        <v>19</v>
      </c>
      <c r="K385" s="1" t="s">
        <v>20</v>
      </c>
      <c r="M385" s="6"/>
      <c r="N385" s="7"/>
      <c r="O385" s="7" t="e">
        <f t="shared" si="6"/>
        <v>#DIV/0!</v>
      </c>
    </row>
    <row r="386" spans="1:15" x14ac:dyDescent="0.4">
      <c r="A386" s="1">
        <v>385</v>
      </c>
      <c r="D386" s="2"/>
      <c r="J386" s="2" t="s">
        <v>19</v>
      </c>
      <c r="K386" s="1" t="s">
        <v>20</v>
      </c>
      <c r="M386" s="6"/>
      <c r="N386" s="7"/>
      <c r="O386" s="7" t="e">
        <f t="shared" ref="O386:O449" si="7">N386/M386</f>
        <v>#DIV/0!</v>
      </c>
    </row>
    <row r="387" spans="1:15" x14ac:dyDescent="0.4">
      <c r="A387" s="1">
        <v>386</v>
      </c>
      <c r="D387" s="2"/>
      <c r="J387" s="2" t="s">
        <v>19</v>
      </c>
      <c r="K387" s="1" t="s">
        <v>20</v>
      </c>
      <c r="M387" s="6"/>
      <c r="N387" s="7"/>
      <c r="O387" s="7" t="e">
        <f t="shared" si="7"/>
        <v>#DIV/0!</v>
      </c>
    </row>
    <row r="388" spans="1:15" x14ac:dyDescent="0.4">
      <c r="A388" s="1">
        <v>387</v>
      </c>
      <c r="D388" s="2"/>
      <c r="J388" s="2" t="s">
        <v>19</v>
      </c>
      <c r="K388" s="1" t="s">
        <v>20</v>
      </c>
      <c r="M388" s="6"/>
      <c r="N388" s="7"/>
      <c r="O388" s="7" t="e">
        <f t="shared" si="7"/>
        <v>#DIV/0!</v>
      </c>
    </row>
    <row r="389" spans="1:15" x14ac:dyDescent="0.4">
      <c r="A389" s="1">
        <v>388</v>
      </c>
      <c r="D389" s="2"/>
      <c r="J389" s="2" t="s">
        <v>19</v>
      </c>
      <c r="K389" s="1" t="s">
        <v>20</v>
      </c>
      <c r="M389" s="6"/>
      <c r="N389" s="7"/>
      <c r="O389" s="7" t="e">
        <f t="shared" si="7"/>
        <v>#DIV/0!</v>
      </c>
    </row>
    <row r="390" spans="1:15" x14ac:dyDescent="0.4">
      <c r="A390" s="1">
        <v>389</v>
      </c>
      <c r="D390" s="2"/>
      <c r="J390" s="2" t="s">
        <v>19</v>
      </c>
      <c r="K390" s="1" t="s">
        <v>20</v>
      </c>
      <c r="M390" s="6"/>
      <c r="N390" s="7"/>
      <c r="O390" s="7" t="e">
        <f t="shared" si="7"/>
        <v>#DIV/0!</v>
      </c>
    </row>
    <row r="391" spans="1:15" x14ac:dyDescent="0.4">
      <c r="A391" s="1">
        <v>390</v>
      </c>
      <c r="D391" s="2"/>
      <c r="J391" s="2" t="s">
        <v>19</v>
      </c>
      <c r="K391" s="1" t="s">
        <v>20</v>
      </c>
      <c r="M391" s="6"/>
      <c r="N391" s="7"/>
      <c r="O391" s="7" t="e">
        <f t="shared" si="7"/>
        <v>#DIV/0!</v>
      </c>
    </row>
    <row r="392" spans="1:15" x14ac:dyDescent="0.4">
      <c r="A392" s="1">
        <v>391</v>
      </c>
      <c r="D392" s="2"/>
      <c r="J392" s="2" t="s">
        <v>19</v>
      </c>
      <c r="K392" s="1" t="s">
        <v>20</v>
      </c>
      <c r="M392" s="6"/>
      <c r="N392" s="7"/>
      <c r="O392" s="7" t="e">
        <f t="shared" si="7"/>
        <v>#DIV/0!</v>
      </c>
    </row>
    <row r="393" spans="1:15" x14ac:dyDescent="0.4">
      <c r="A393" s="1">
        <v>392</v>
      </c>
      <c r="D393" s="2"/>
      <c r="J393" s="2" t="s">
        <v>19</v>
      </c>
      <c r="K393" s="1" t="s">
        <v>20</v>
      </c>
      <c r="M393" s="6"/>
      <c r="N393" s="7"/>
      <c r="O393" s="7" t="e">
        <f t="shared" si="7"/>
        <v>#DIV/0!</v>
      </c>
    </row>
    <row r="394" spans="1:15" x14ac:dyDescent="0.4">
      <c r="A394" s="1">
        <v>393</v>
      </c>
      <c r="D394" s="2"/>
      <c r="J394" s="2" t="s">
        <v>19</v>
      </c>
      <c r="K394" s="1" t="s">
        <v>20</v>
      </c>
      <c r="M394" s="6"/>
      <c r="N394" s="7"/>
      <c r="O394" s="7" t="e">
        <f t="shared" si="7"/>
        <v>#DIV/0!</v>
      </c>
    </row>
    <row r="395" spans="1:15" x14ac:dyDescent="0.4">
      <c r="A395" s="1">
        <v>394</v>
      </c>
      <c r="D395" s="2"/>
      <c r="J395" s="2" t="s">
        <v>19</v>
      </c>
      <c r="K395" s="1" t="s">
        <v>20</v>
      </c>
      <c r="M395" s="6"/>
      <c r="N395" s="7"/>
      <c r="O395" s="7" t="e">
        <f t="shared" si="7"/>
        <v>#DIV/0!</v>
      </c>
    </row>
    <row r="396" spans="1:15" x14ac:dyDescent="0.4">
      <c r="A396" s="1">
        <v>395</v>
      </c>
      <c r="D396" s="2"/>
      <c r="J396" s="2" t="s">
        <v>19</v>
      </c>
      <c r="K396" s="1" t="s">
        <v>20</v>
      </c>
      <c r="M396" s="6"/>
      <c r="N396" s="7"/>
      <c r="O396" s="7" t="e">
        <f t="shared" si="7"/>
        <v>#DIV/0!</v>
      </c>
    </row>
    <row r="397" spans="1:15" x14ac:dyDescent="0.4">
      <c r="A397" s="1">
        <v>396</v>
      </c>
      <c r="D397" s="2"/>
      <c r="J397" s="2" t="s">
        <v>19</v>
      </c>
      <c r="K397" s="1" t="s">
        <v>20</v>
      </c>
      <c r="M397" s="6"/>
      <c r="N397" s="7"/>
      <c r="O397" s="7" t="e">
        <f t="shared" si="7"/>
        <v>#DIV/0!</v>
      </c>
    </row>
    <row r="398" spans="1:15" x14ac:dyDescent="0.4">
      <c r="A398" s="1">
        <v>397</v>
      </c>
      <c r="D398" s="2"/>
      <c r="J398" s="2" t="s">
        <v>19</v>
      </c>
      <c r="K398" s="1" t="s">
        <v>20</v>
      </c>
      <c r="M398" s="6"/>
      <c r="N398" s="7"/>
      <c r="O398" s="7" t="e">
        <f t="shared" si="7"/>
        <v>#DIV/0!</v>
      </c>
    </row>
    <row r="399" spans="1:15" x14ac:dyDescent="0.4">
      <c r="A399" s="1">
        <v>398</v>
      </c>
      <c r="D399" s="2"/>
      <c r="J399" s="2" t="s">
        <v>19</v>
      </c>
      <c r="K399" s="1" t="s">
        <v>20</v>
      </c>
      <c r="M399" s="6"/>
      <c r="N399" s="7"/>
      <c r="O399" s="7" t="e">
        <f t="shared" si="7"/>
        <v>#DIV/0!</v>
      </c>
    </row>
    <row r="400" spans="1:15" x14ac:dyDescent="0.4">
      <c r="A400" s="1">
        <v>399</v>
      </c>
      <c r="D400" s="2"/>
      <c r="J400" s="2" t="s">
        <v>19</v>
      </c>
      <c r="K400" s="1" t="s">
        <v>20</v>
      </c>
      <c r="M400" s="6"/>
      <c r="N400" s="7"/>
      <c r="O400" s="7" t="e">
        <f t="shared" si="7"/>
        <v>#DIV/0!</v>
      </c>
    </row>
    <row r="401" spans="1:15" x14ac:dyDescent="0.4">
      <c r="A401" s="1">
        <v>400</v>
      </c>
      <c r="D401" s="2"/>
      <c r="J401" s="2" t="s">
        <v>19</v>
      </c>
      <c r="K401" s="1" t="s">
        <v>20</v>
      </c>
      <c r="M401" s="6"/>
      <c r="N401" s="7"/>
      <c r="O401" s="7" t="e">
        <f t="shared" si="7"/>
        <v>#DIV/0!</v>
      </c>
    </row>
    <row r="402" spans="1:15" x14ac:dyDescent="0.4">
      <c r="A402" s="1">
        <v>401</v>
      </c>
      <c r="D402" s="2"/>
      <c r="J402" s="2" t="s">
        <v>19</v>
      </c>
      <c r="K402" s="1" t="s">
        <v>20</v>
      </c>
      <c r="M402" s="6"/>
      <c r="N402" s="7"/>
      <c r="O402" s="7" t="e">
        <f t="shared" si="7"/>
        <v>#DIV/0!</v>
      </c>
    </row>
    <row r="403" spans="1:15" x14ac:dyDescent="0.4">
      <c r="A403" s="1">
        <v>402</v>
      </c>
      <c r="D403" s="2"/>
      <c r="J403" s="2" t="s">
        <v>19</v>
      </c>
      <c r="K403" s="1" t="s">
        <v>20</v>
      </c>
      <c r="M403" s="6"/>
      <c r="N403" s="7"/>
      <c r="O403" s="7" t="e">
        <f t="shared" si="7"/>
        <v>#DIV/0!</v>
      </c>
    </row>
    <row r="404" spans="1:15" x14ac:dyDescent="0.4">
      <c r="A404" s="1">
        <v>403</v>
      </c>
      <c r="D404" s="2"/>
      <c r="J404" s="2" t="s">
        <v>19</v>
      </c>
      <c r="K404" s="1" t="s">
        <v>20</v>
      </c>
      <c r="M404" s="6"/>
      <c r="N404" s="7"/>
      <c r="O404" s="7" t="e">
        <f t="shared" si="7"/>
        <v>#DIV/0!</v>
      </c>
    </row>
    <row r="405" spans="1:15" x14ac:dyDescent="0.4">
      <c r="A405" s="1">
        <v>404</v>
      </c>
      <c r="D405" s="2"/>
      <c r="J405" s="2" t="s">
        <v>19</v>
      </c>
      <c r="K405" s="1" t="s">
        <v>20</v>
      </c>
      <c r="M405" s="6"/>
      <c r="N405" s="7"/>
      <c r="O405" s="7" t="e">
        <f t="shared" si="7"/>
        <v>#DIV/0!</v>
      </c>
    </row>
    <row r="406" spans="1:15" x14ac:dyDescent="0.4">
      <c r="A406" s="1">
        <v>405</v>
      </c>
      <c r="D406" s="2"/>
      <c r="J406" s="2" t="s">
        <v>19</v>
      </c>
      <c r="K406" s="1" t="s">
        <v>20</v>
      </c>
      <c r="M406" s="6"/>
      <c r="N406" s="7"/>
      <c r="O406" s="7" t="e">
        <f t="shared" si="7"/>
        <v>#DIV/0!</v>
      </c>
    </row>
    <row r="407" spans="1:15" x14ac:dyDescent="0.4">
      <c r="A407" s="1">
        <v>406</v>
      </c>
      <c r="D407" s="2"/>
      <c r="J407" s="2" t="s">
        <v>19</v>
      </c>
      <c r="K407" s="1" t="s">
        <v>20</v>
      </c>
      <c r="M407" s="6"/>
      <c r="N407" s="7"/>
      <c r="O407" s="7" t="e">
        <f t="shared" si="7"/>
        <v>#DIV/0!</v>
      </c>
    </row>
    <row r="408" spans="1:15" x14ac:dyDescent="0.4">
      <c r="A408" s="1">
        <v>407</v>
      </c>
      <c r="D408" s="2"/>
      <c r="J408" s="2" t="s">
        <v>19</v>
      </c>
      <c r="K408" s="1" t="s">
        <v>20</v>
      </c>
      <c r="M408" s="6"/>
      <c r="N408" s="7"/>
      <c r="O408" s="7" t="e">
        <f t="shared" si="7"/>
        <v>#DIV/0!</v>
      </c>
    </row>
    <row r="409" spans="1:15" x14ac:dyDescent="0.4">
      <c r="A409" s="1">
        <v>408</v>
      </c>
      <c r="D409" s="2"/>
      <c r="J409" s="2" t="s">
        <v>19</v>
      </c>
      <c r="K409" s="1" t="s">
        <v>20</v>
      </c>
      <c r="M409" s="6"/>
      <c r="N409" s="7"/>
      <c r="O409" s="7" t="e">
        <f t="shared" si="7"/>
        <v>#DIV/0!</v>
      </c>
    </row>
    <row r="410" spans="1:15" x14ac:dyDescent="0.4">
      <c r="A410" s="1">
        <v>409</v>
      </c>
      <c r="D410" s="2"/>
      <c r="J410" s="2" t="s">
        <v>19</v>
      </c>
      <c r="K410" s="1" t="s">
        <v>20</v>
      </c>
      <c r="M410" s="6"/>
      <c r="N410" s="7"/>
      <c r="O410" s="7" t="e">
        <f t="shared" si="7"/>
        <v>#DIV/0!</v>
      </c>
    </row>
    <row r="411" spans="1:15" x14ac:dyDescent="0.4">
      <c r="A411" s="1">
        <v>410</v>
      </c>
      <c r="D411" s="2"/>
      <c r="J411" s="2" t="s">
        <v>19</v>
      </c>
      <c r="K411" s="1" t="s">
        <v>20</v>
      </c>
      <c r="M411" s="6"/>
      <c r="N411" s="7"/>
      <c r="O411" s="7" t="e">
        <f t="shared" si="7"/>
        <v>#DIV/0!</v>
      </c>
    </row>
    <row r="412" spans="1:15" x14ac:dyDescent="0.4">
      <c r="A412" s="1">
        <v>411</v>
      </c>
      <c r="D412" s="2"/>
      <c r="J412" s="2" t="s">
        <v>19</v>
      </c>
      <c r="K412" s="1" t="s">
        <v>20</v>
      </c>
      <c r="M412" s="6"/>
      <c r="N412" s="7"/>
      <c r="O412" s="7" t="e">
        <f t="shared" si="7"/>
        <v>#DIV/0!</v>
      </c>
    </row>
    <row r="413" spans="1:15" x14ac:dyDescent="0.4">
      <c r="A413" s="1">
        <v>412</v>
      </c>
      <c r="D413" s="2"/>
      <c r="J413" s="2" t="s">
        <v>19</v>
      </c>
      <c r="K413" s="1" t="s">
        <v>20</v>
      </c>
      <c r="M413" s="6"/>
      <c r="N413" s="7"/>
      <c r="O413" s="7" t="e">
        <f t="shared" si="7"/>
        <v>#DIV/0!</v>
      </c>
    </row>
    <row r="414" spans="1:15" x14ac:dyDescent="0.4">
      <c r="A414" s="1">
        <v>413</v>
      </c>
      <c r="D414" s="2"/>
      <c r="J414" s="2" t="s">
        <v>19</v>
      </c>
      <c r="K414" s="1" t="s">
        <v>20</v>
      </c>
      <c r="M414" s="6"/>
      <c r="N414" s="7"/>
      <c r="O414" s="7" t="e">
        <f t="shared" si="7"/>
        <v>#DIV/0!</v>
      </c>
    </row>
    <row r="415" spans="1:15" x14ac:dyDescent="0.4">
      <c r="A415" s="1">
        <v>414</v>
      </c>
      <c r="D415" s="2"/>
      <c r="J415" s="2" t="s">
        <v>19</v>
      </c>
      <c r="K415" s="1" t="s">
        <v>20</v>
      </c>
      <c r="M415" s="6"/>
      <c r="N415" s="7"/>
      <c r="O415" s="7" t="e">
        <f t="shared" si="7"/>
        <v>#DIV/0!</v>
      </c>
    </row>
    <row r="416" spans="1:15" x14ac:dyDescent="0.4">
      <c r="A416" s="1">
        <v>415</v>
      </c>
      <c r="D416" s="2"/>
      <c r="J416" s="2" t="s">
        <v>19</v>
      </c>
      <c r="K416" s="1" t="s">
        <v>20</v>
      </c>
      <c r="M416" s="6"/>
      <c r="N416" s="7"/>
      <c r="O416" s="7" t="e">
        <f t="shared" si="7"/>
        <v>#DIV/0!</v>
      </c>
    </row>
    <row r="417" spans="1:15" x14ac:dyDescent="0.4">
      <c r="A417" s="1">
        <v>416</v>
      </c>
      <c r="D417" s="2"/>
      <c r="J417" s="2" t="s">
        <v>19</v>
      </c>
      <c r="K417" s="1" t="s">
        <v>20</v>
      </c>
      <c r="M417" s="6"/>
      <c r="N417" s="7"/>
      <c r="O417" s="7" t="e">
        <f t="shared" si="7"/>
        <v>#DIV/0!</v>
      </c>
    </row>
    <row r="418" spans="1:15" x14ac:dyDescent="0.4">
      <c r="A418" s="1">
        <v>417</v>
      </c>
      <c r="D418" s="2"/>
      <c r="J418" s="2" t="s">
        <v>19</v>
      </c>
      <c r="K418" s="1" t="s">
        <v>20</v>
      </c>
      <c r="M418" s="6"/>
      <c r="N418" s="7"/>
      <c r="O418" s="7" t="e">
        <f t="shared" si="7"/>
        <v>#DIV/0!</v>
      </c>
    </row>
    <row r="419" spans="1:15" x14ac:dyDescent="0.4">
      <c r="A419" s="1">
        <v>418</v>
      </c>
      <c r="D419" s="2"/>
      <c r="J419" s="2" t="s">
        <v>19</v>
      </c>
      <c r="K419" s="1" t="s">
        <v>20</v>
      </c>
      <c r="M419" s="6"/>
      <c r="N419" s="7"/>
      <c r="O419" s="7" t="e">
        <f t="shared" si="7"/>
        <v>#DIV/0!</v>
      </c>
    </row>
    <row r="420" spans="1:15" x14ac:dyDescent="0.4">
      <c r="A420" s="1">
        <v>419</v>
      </c>
      <c r="D420" s="2"/>
      <c r="J420" s="2" t="s">
        <v>19</v>
      </c>
      <c r="K420" s="1" t="s">
        <v>20</v>
      </c>
      <c r="M420" s="6"/>
      <c r="N420" s="7"/>
      <c r="O420" s="7" t="e">
        <f t="shared" si="7"/>
        <v>#DIV/0!</v>
      </c>
    </row>
    <row r="421" spans="1:15" x14ac:dyDescent="0.4">
      <c r="A421" s="1">
        <v>420</v>
      </c>
      <c r="D421" s="2"/>
      <c r="J421" s="2" t="s">
        <v>19</v>
      </c>
      <c r="K421" s="1" t="s">
        <v>20</v>
      </c>
      <c r="M421" s="6"/>
      <c r="N421" s="7"/>
      <c r="O421" s="7" t="e">
        <f t="shared" si="7"/>
        <v>#DIV/0!</v>
      </c>
    </row>
    <row r="422" spans="1:15" x14ac:dyDescent="0.4">
      <c r="A422" s="1">
        <v>421</v>
      </c>
      <c r="D422" s="2"/>
      <c r="J422" s="2" t="s">
        <v>19</v>
      </c>
      <c r="K422" s="1" t="s">
        <v>20</v>
      </c>
      <c r="M422" s="6"/>
      <c r="N422" s="7"/>
      <c r="O422" s="7" t="e">
        <f t="shared" si="7"/>
        <v>#DIV/0!</v>
      </c>
    </row>
    <row r="423" spans="1:15" x14ac:dyDescent="0.4">
      <c r="A423" s="1">
        <v>422</v>
      </c>
      <c r="D423" s="2"/>
      <c r="J423" s="2" t="s">
        <v>19</v>
      </c>
      <c r="K423" s="1" t="s">
        <v>20</v>
      </c>
      <c r="M423" s="6"/>
      <c r="N423" s="7"/>
      <c r="O423" s="7" t="e">
        <f t="shared" si="7"/>
        <v>#DIV/0!</v>
      </c>
    </row>
    <row r="424" spans="1:15" x14ac:dyDescent="0.4">
      <c r="A424" s="1">
        <v>423</v>
      </c>
      <c r="D424" s="2"/>
      <c r="J424" s="2" t="s">
        <v>19</v>
      </c>
      <c r="K424" s="1" t="s">
        <v>20</v>
      </c>
      <c r="M424" s="6"/>
      <c r="N424" s="7"/>
      <c r="O424" s="7" t="e">
        <f t="shared" si="7"/>
        <v>#DIV/0!</v>
      </c>
    </row>
    <row r="425" spans="1:15" x14ac:dyDescent="0.4">
      <c r="A425" s="1">
        <v>424</v>
      </c>
      <c r="D425" s="2"/>
      <c r="J425" s="2" t="s">
        <v>19</v>
      </c>
      <c r="K425" s="1" t="s">
        <v>20</v>
      </c>
      <c r="M425" s="6"/>
      <c r="N425" s="7"/>
      <c r="O425" s="7" t="e">
        <f t="shared" si="7"/>
        <v>#DIV/0!</v>
      </c>
    </row>
    <row r="426" spans="1:15" x14ac:dyDescent="0.4">
      <c r="A426" s="1">
        <v>425</v>
      </c>
      <c r="D426" s="2"/>
      <c r="J426" s="2" t="s">
        <v>19</v>
      </c>
      <c r="K426" s="1" t="s">
        <v>20</v>
      </c>
      <c r="M426" s="6"/>
      <c r="N426" s="7"/>
      <c r="O426" s="7" t="e">
        <f t="shared" si="7"/>
        <v>#DIV/0!</v>
      </c>
    </row>
    <row r="427" spans="1:15" x14ac:dyDescent="0.4">
      <c r="A427" s="1">
        <v>426</v>
      </c>
      <c r="D427" s="2"/>
      <c r="J427" s="2" t="s">
        <v>19</v>
      </c>
      <c r="K427" s="1" t="s">
        <v>20</v>
      </c>
      <c r="M427" s="6"/>
      <c r="N427" s="7"/>
      <c r="O427" s="7" t="e">
        <f t="shared" si="7"/>
        <v>#DIV/0!</v>
      </c>
    </row>
    <row r="428" spans="1:15" x14ac:dyDescent="0.4">
      <c r="A428" s="1">
        <v>427</v>
      </c>
      <c r="D428" s="2"/>
      <c r="J428" s="2" t="s">
        <v>19</v>
      </c>
      <c r="K428" s="1" t="s">
        <v>20</v>
      </c>
      <c r="M428" s="6"/>
      <c r="N428" s="7"/>
      <c r="O428" s="7" t="e">
        <f t="shared" si="7"/>
        <v>#DIV/0!</v>
      </c>
    </row>
    <row r="429" spans="1:15" x14ac:dyDescent="0.4">
      <c r="A429" s="1">
        <v>428</v>
      </c>
      <c r="D429" s="2"/>
      <c r="J429" s="2" t="s">
        <v>19</v>
      </c>
      <c r="K429" s="1" t="s">
        <v>20</v>
      </c>
      <c r="M429" s="6"/>
      <c r="N429" s="7"/>
      <c r="O429" s="7" t="e">
        <f t="shared" si="7"/>
        <v>#DIV/0!</v>
      </c>
    </row>
    <row r="430" spans="1:15" x14ac:dyDescent="0.4">
      <c r="A430" s="1">
        <v>429</v>
      </c>
      <c r="D430" s="2"/>
      <c r="J430" s="2" t="s">
        <v>19</v>
      </c>
      <c r="K430" s="1" t="s">
        <v>20</v>
      </c>
      <c r="M430" s="6"/>
      <c r="N430" s="7"/>
      <c r="O430" s="7" t="e">
        <f t="shared" si="7"/>
        <v>#DIV/0!</v>
      </c>
    </row>
    <row r="431" spans="1:15" x14ac:dyDescent="0.4">
      <c r="A431" s="1">
        <v>430</v>
      </c>
      <c r="D431" s="2"/>
      <c r="J431" s="2" t="s">
        <v>19</v>
      </c>
      <c r="K431" s="1" t="s">
        <v>20</v>
      </c>
      <c r="M431" s="6"/>
      <c r="N431" s="7"/>
      <c r="O431" s="7" t="e">
        <f t="shared" si="7"/>
        <v>#DIV/0!</v>
      </c>
    </row>
    <row r="432" spans="1:15" x14ac:dyDescent="0.4">
      <c r="A432" s="1">
        <v>431</v>
      </c>
      <c r="D432" s="2"/>
      <c r="J432" s="2" t="s">
        <v>19</v>
      </c>
      <c r="K432" s="1" t="s">
        <v>20</v>
      </c>
      <c r="M432" s="6"/>
      <c r="N432" s="7"/>
      <c r="O432" s="7" t="e">
        <f t="shared" si="7"/>
        <v>#DIV/0!</v>
      </c>
    </row>
    <row r="433" spans="1:15" x14ac:dyDescent="0.4">
      <c r="A433" s="1">
        <v>432</v>
      </c>
      <c r="D433" s="2"/>
      <c r="J433" s="2" t="s">
        <v>19</v>
      </c>
      <c r="K433" s="1" t="s">
        <v>20</v>
      </c>
      <c r="M433" s="6"/>
      <c r="N433" s="7"/>
      <c r="O433" s="7" t="e">
        <f t="shared" si="7"/>
        <v>#DIV/0!</v>
      </c>
    </row>
    <row r="434" spans="1:15" x14ac:dyDescent="0.4">
      <c r="A434" s="1">
        <v>433</v>
      </c>
      <c r="D434" s="2"/>
      <c r="J434" s="2" t="s">
        <v>19</v>
      </c>
      <c r="K434" s="1" t="s">
        <v>20</v>
      </c>
      <c r="M434" s="6"/>
      <c r="N434" s="7"/>
      <c r="O434" s="7" t="e">
        <f t="shared" si="7"/>
        <v>#DIV/0!</v>
      </c>
    </row>
    <row r="435" spans="1:15" x14ac:dyDescent="0.4">
      <c r="A435" s="1">
        <v>434</v>
      </c>
      <c r="D435" s="2"/>
      <c r="J435" s="2" t="s">
        <v>19</v>
      </c>
      <c r="K435" s="1" t="s">
        <v>20</v>
      </c>
      <c r="M435" s="6"/>
      <c r="N435" s="7"/>
      <c r="O435" s="7" t="e">
        <f t="shared" si="7"/>
        <v>#DIV/0!</v>
      </c>
    </row>
    <row r="436" spans="1:15" x14ac:dyDescent="0.4">
      <c r="A436" s="1">
        <v>435</v>
      </c>
      <c r="D436" s="2"/>
      <c r="J436" s="2" t="s">
        <v>19</v>
      </c>
      <c r="K436" s="1" t="s">
        <v>20</v>
      </c>
      <c r="M436" s="6"/>
      <c r="N436" s="7"/>
      <c r="O436" s="7" t="e">
        <f t="shared" si="7"/>
        <v>#DIV/0!</v>
      </c>
    </row>
    <row r="437" spans="1:15" x14ac:dyDescent="0.4">
      <c r="A437" s="1">
        <v>436</v>
      </c>
      <c r="D437" s="2"/>
      <c r="J437" s="2" t="s">
        <v>19</v>
      </c>
      <c r="K437" s="1" t="s">
        <v>20</v>
      </c>
      <c r="M437" s="6"/>
      <c r="N437" s="7"/>
      <c r="O437" s="7" t="e">
        <f t="shared" si="7"/>
        <v>#DIV/0!</v>
      </c>
    </row>
    <row r="438" spans="1:15" x14ac:dyDescent="0.4">
      <c r="A438" s="1">
        <v>437</v>
      </c>
      <c r="D438" s="2"/>
      <c r="J438" s="2" t="s">
        <v>19</v>
      </c>
      <c r="K438" s="1" t="s">
        <v>20</v>
      </c>
      <c r="M438" s="6"/>
      <c r="N438" s="7"/>
      <c r="O438" s="7" t="e">
        <f t="shared" si="7"/>
        <v>#DIV/0!</v>
      </c>
    </row>
    <row r="439" spans="1:15" x14ac:dyDescent="0.4">
      <c r="A439" s="1">
        <v>438</v>
      </c>
      <c r="D439" s="2"/>
      <c r="J439" s="2" t="s">
        <v>19</v>
      </c>
      <c r="K439" s="1" t="s">
        <v>20</v>
      </c>
      <c r="M439" s="6"/>
      <c r="N439" s="7"/>
      <c r="O439" s="7" t="e">
        <f t="shared" si="7"/>
        <v>#DIV/0!</v>
      </c>
    </row>
    <row r="440" spans="1:15" x14ac:dyDescent="0.4">
      <c r="A440" s="1">
        <v>439</v>
      </c>
      <c r="D440" s="2"/>
      <c r="J440" s="2" t="s">
        <v>19</v>
      </c>
      <c r="K440" s="1" t="s">
        <v>20</v>
      </c>
      <c r="M440" s="6"/>
      <c r="N440" s="7"/>
      <c r="O440" s="7" t="e">
        <f t="shared" si="7"/>
        <v>#DIV/0!</v>
      </c>
    </row>
    <row r="441" spans="1:15" x14ac:dyDescent="0.4">
      <c r="A441" s="1">
        <v>440</v>
      </c>
      <c r="D441" s="2"/>
      <c r="J441" s="2" t="s">
        <v>19</v>
      </c>
      <c r="K441" s="1" t="s">
        <v>20</v>
      </c>
      <c r="M441" s="6"/>
      <c r="N441" s="7"/>
      <c r="O441" s="7" t="e">
        <f t="shared" si="7"/>
        <v>#DIV/0!</v>
      </c>
    </row>
    <row r="442" spans="1:15" x14ac:dyDescent="0.4">
      <c r="A442" s="1">
        <v>441</v>
      </c>
      <c r="D442" s="2"/>
      <c r="J442" s="2" t="s">
        <v>19</v>
      </c>
      <c r="K442" s="1" t="s">
        <v>20</v>
      </c>
      <c r="M442" s="6"/>
      <c r="N442" s="7"/>
      <c r="O442" s="7" t="e">
        <f t="shared" si="7"/>
        <v>#DIV/0!</v>
      </c>
    </row>
    <row r="443" spans="1:15" x14ac:dyDescent="0.4">
      <c r="A443" s="1">
        <v>442</v>
      </c>
      <c r="D443" s="2"/>
      <c r="J443" s="2" t="s">
        <v>19</v>
      </c>
      <c r="K443" s="1" t="s">
        <v>20</v>
      </c>
      <c r="M443" s="6"/>
      <c r="N443" s="7"/>
      <c r="O443" s="7" t="e">
        <f t="shared" si="7"/>
        <v>#DIV/0!</v>
      </c>
    </row>
    <row r="444" spans="1:15" x14ac:dyDescent="0.4">
      <c r="A444" s="1">
        <v>443</v>
      </c>
      <c r="D444" s="2"/>
      <c r="J444" s="2" t="s">
        <v>19</v>
      </c>
      <c r="K444" s="1" t="s">
        <v>20</v>
      </c>
      <c r="M444" s="6"/>
      <c r="N444" s="7"/>
      <c r="O444" s="7" t="e">
        <f t="shared" si="7"/>
        <v>#DIV/0!</v>
      </c>
    </row>
    <row r="445" spans="1:15" x14ac:dyDescent="0.4">
      <c r="A445" s="1">
        <v>444</v>
      </c>
      <c r="D445" s="2"/>
      <c r="J445" s="2" t="s">
        <v>19</v>
      </c>
      <c r="K445" s="1" t="s">
        <v>20</v>
      </c>
      <c r="M445" s="6"/>
      <c r="N445" s="7"/>
      <c r="O445" s="7" t="e">
        <f t="shared" si="7"/>
        <v>#DIV/0!</v>
      </c>
    </row>
    <row r="446" spans="1:15" x14ac:dyDescent="0.4">
      <c r="A446" s="1">
        <v>445</v>
      </c>
      <c r="D446" s="2"/>
      <c r="J446" s="2" t="s">
        <v>19</v>
      </c>
      <c r="K446" s="1" t="s">
        <v>20</v>
      </c>
      <c r="M446" s="6"/>
      <c r="N446" s="7"/>
      <c r="O446" s="7" t="e">
        <f t="shared" si="7"/>
        <v>#DIV/0!</v>
      </c>
    </row>
    <row r="447" spans="1:15" x14ac:dyDescent="0.4">
      <c r="A447" s="1">
        <v>446</v>
      </c>
      <c r="D447" s="2"/>
      <c r="J447" s="2" t="s">
        <v>19</v>
      </c>
      <c r="K447" s="1" t="s">
        <v>20</v>
      </c>
      <c r="M447" s="6"/>
      <c r="N447" s="7"/>
      <c r="O447" s="7" t="e">
        <f t="shared" si="7"/>
        <v>#DIV/0!</v>
      </c>
    </row>
    <row r="448" spans="1:15" x14ac:dyDescent="0.4">
      <c r="A448" s="1">
        <v>447</v>
      </c>
      <c r="D448" s="2"/>
      <c r="J448" s="2" t="s">
        <v>19</v>
      </c>
      <c r="K448" s="1" t="s">
        <v>20</v>
      </c>
      <c r="M448" s="6"/>
      <c r="N448" s="7"/>
      <c r="O448" s="7" t="e">
        <f t="shared" si="7"/>
        <v>#DIV/0!</v>
      </c>
    </row>
    <row r="449" spans="1:15" x14ac:dyDescent="0.4">
      <c r="A449" s="1">
        <v>448</v>
      </c>
      <c r="D449" s="2"/>
      <c r="J449" s="2" t="s">
        <v>19</v>
      </c>
      <c r="K449" s="1" t="s">
        <v>20</v>
      </c>
      <c r="M449" s="6"/>
      <c r="N449" s="7"/>
      <c r="O449" s="7" t="e">
        <f t="shared" si="7"/>
        <v>#DIV/0!</v>
      </c>
    </row>
    <row r="450" spans="1:15" x14ac:dyDescent="0.4">
      <c r="A450" s="1">
        <v>449</v>
      </c>
      <c r="D450" s="2"/>
      <c r="J450" s="2" t="s">
        <v>19</v>
      </c>
      <c r="K450" s="1" t="s">
        <v>20</v>
      </c>
      <c r="M450" s="6"/>
      <c r="N450" s="7"/>
      <c r="O450" s="7" t="e">
        <f t="shared" ref="O450:O513" si="8">N450/M450</f>
        <v>#DIV/0!</v>
      </c>
    </row>
    <row r="451" spans="1:15" x14ac:dyDescent="0.4">
      <c r="A451" s="1">
        <v>450</v>
      </c>
      <c r="D451" s="2"/>
      <c r="J451" s="2" t="s">
        <v>19</v>
      </c>
      <c r="K451" s="1" t="s">
        <v>20</v>
      </c>
      <c r="M451" s="6"/>
      <c r="N451" s="7"/>
      <c r="O451" s="7" t="e">
        <f t="shared" si="8"/>
        <v>#DIV/0!</v>
      </c>
    </row>
    <row r="452" spans="1:15" x14ac:dyDescent="0.4">
      <c r="A452" s="1">
        <v>451</v>
      </c>
      <c r="D452" s="2"/>
      <c r="J452" s="2" t="s">
        <v>19</v>
      </c>
      <c r="K452" s="1" t="s">
        <v>20</v>
      </c>
      <c r="M452" s="6"/>
      <c r="N452" s="7"/>
      <c r="O452" s="7" t="e">
        <f t="shared" si="8"/>
        <v>#DIV/0!</v>
      </c>
    </row>
    <row r="453" spans="1:15" x14ac:dyDescent="0.4">
      <c r="A453" s="1">
        <v>452</v>
      </c>
      <c r="D453" s="2"/>
      <c r="J453" s="2" t="s">
        <v>19</v>
      </c>
      <c r="K453" s="1" t="s">
        <v>20</v>
      </c>
      <c r="M453" s="6"/>
      <c r="N453" s="7"/>
      <c r="O453" s="7" t="e">
        <f t="shared" si="8"/>
        <v>#DIV/0!</v>
      </c>
    </row>
    <row r="454" spans="1:15" x14ac:dyDescent="0.4">
      <c r="A454" s="1">
        <v>453</v>
      </c>
      <c r="D454" s="2"/>
      <c r="J454" s="2" t="s">
        <v>19</v>
      </c>
      <c r="K454" s="1" t="s">
        <v>20</v>
      </c>
      <c r="M454" s="6"/>
      <c r="N454" s="7"/>
      <c r="O454" s="7" t="e">
        <f t="shared" si="8"/>
        <v>#DIV/0!</v>
      </c>
    </row>
    <row r="455" spans="1:15" x14ac:dyDescent="0.4">
      <c r="A455" s="1">
        <v>454</v>
      </c>
      <c r="D455" s="2"/>
      <c r="J455" s="2" t="s">
        <v>19</v>
      </c>
      <c r="K455" s="1" t="s">
        <v>20</v>
      </c>
      <c r="M455" s="6"/>
      <c r="N455" s="7"/>
      <c r="O455" s="7" t="e">
        <f t="shared" si="8"/>
        <v>#DIV/0!</v>
      </c>
    </row>
    <row r="456" spans="1:15" x14ac:dyDescent="0.4">
      <c r="A456" s="1">
        <v>455</v>
      </c>
      <c r="D456" s="2"/>
      <c r="J456" s="2" t="s">
        <v>19</v>
      </c>
      <c r="K456" s="1" t="s">
        <v>20</v>
      </c>
      <c r="M456" s="6"/>
      <c r="N456" s="7"/>
      <c r="O456" s="7" t="e">
        <f t="shared" si="8"/>
        <v>#DIV/0!</v>
      </c>
    </row>
    <row r="457" spans="1:15" x14ac:dyDescent="0.4">
      <c r="A457" s="1">
        <v>456</v>
      </c>
      <c r="D457" s="2"/>
      <c r="J457" s="2" t="s">
        <v>19</v>
      </c>
      <c r="K457" s="1" t="s">
        <v>20</v>
      </c>
      <c r="M457" s="6"/>
      <c r="N457" s="7"/>
      <c r="O457" s="7" t="e">
        <f t="shared" si="8"/>
        <v>#DIV/0!</v>
      </c>
    </row>
    <row r="458" spans="1:15" x14ac:dyDescent="0.4">
      <c r="A458" s="1">
        <v>457</v>
      </c>
      <c r="D458" s="2"/>
      <c r="J458" s="2" t="s">
        <v>19</v>
      </c>
      <c r="K458" s="1" t="s">
        <v>20</v>
      </c>
      <c r="M458" s="6"/>
      <c r="N458" s="7"/>
      <c r="O458" s="7" t="e">
        <f t="shared" si="8"/>
        <v>#DIV/0!</v>
      </c>
    </row>
    <row r="459" spans="1:15" x14ac:dyDescent="0.4">
      <c r="A459" s="1">
        <v>458</v>
      </c>
      <c r="D459" s="2"/>
      <c r="J459" s="2" t="s">
        <v>19</v>
      </c>
      <c r="K459" s="1" t="s">
        <v>20</v>
      </c>
      <c r="M459" s="6"/>
      <c r="N459" s="7"/>
      <c r="O459" s="7" t="e">
        <f t="shared" si="8"/>
        <v>#DIV/0!</v>
      </c>
    </row>
    <row r="460" spans="1:15" x14ac:dyDescent="0.4">
      <c r="A460" s="1">
        <v>459</v>
      </c>
      <c r="D460" s="2"/>
      <c r="J460" s="2" t="s">
        <v>19</v>
      </c>
      <c r="K460" s="1" t="s">
        <v>20</v>
      </c>
      <c r="M460" s="6"/>
      <c r="N460" s="7"/>
      <c r="O460" s="7" t="e">
        <f t="shared" si="8"/>
        <v>#DIV/0!</v>
      </c>
    </row>
    <row r="461" spans="1:15" x14ac:dyDescent="0.4">
      <c r="A461" s="1">
        <v>460</v>
      </c>
      <c r="D461" s="2"/>
      <c r="J461" s="2" t="s">
        <v>19</v>
      </c>
      <c r="K461" s="1" t="s">
        <v>20</v>
      </c>
      <c r="M461" s="6"/>
      <c r="N461" s="7"/>
      <c r="O461" s="7" t="e">
        <f t="shared" si="8"/>
        <v>#DIV/0!</v>
      </c>
    </row>
    <row r="462" spans="1:15" x14ac:dyDescent="0.4">
      <c r="A462" s="1">
        <v>461</v>
      </c>
      <c r="D462" s="2"/>
      <c r="J462" s="2" t="s">
        <v>19</v>
      </c>
      <c r="K462" s="1" t="s">
        <v>20</v>
      </c>
      <c r="M462" s="6"/>
      <c r="N462" s="7"/>
      <c r="O462" s="7" t="e">
        <f t="shared" si="8"/>
        <v>#DIV/0!</v>
      </c>
    </row>
    <row r="463" spans="1:15" x14ac:dyDescent="0.4">
      <c r="A463" s="1">
        <v>462</v>
      </c>
      <c r="D463" s="2"/>
      <c r="J463" s="2" t="s">
        <v>19</v>
      </c>
      <c r="K463" s="1" t="s">
        <v>20</v>
      </c>
      <c r="M463" s="6"/>
      <c r="N463" s="7"/>
      <c r="O463" s="7" t="e">
        <f t="shared" si="8"/>
        <v>#DIV/0!</v>
      </c>
    </row>
    <row r="464" spans="1:15" x14ac:dyDescent="0.4">
      <c r="A464" s="1">
        <v>463</v>
      </c>
      <c r="D464" s="2"/>
      <c r="J464" s="2" t="s">
        <v>19</v>
      </c>
      <c r="K464" s="1" t="s">
        <v>20</v>
      </c>
      <c r="M464" s="6"/>
      <c r="N464" s="7"/>
      <c r="O464" s="7" t="e">
        <f t="shared" si="8"/>
        <v>#DIV/0!</v>
      </c>
    </row>
    <row r="465" spans="1:15" x14ac:dyDescent="0.4">
      <c r="A465" s="1">
        <v>464</v>
      </c>
      <c r="D465" s="2"/>
      <c r="J465" s="2" t="s">
        <v>19</v>
      </c>
      <c r="K465" s="1" t="s">
        <v>20</v>
      </c>
      <c r="M465" s="6"/>
      <c r="N465" s="7"/>
      <c r="O465" s="7" t="e">
        <f t="shared" si="8"/>
        <v>#DIV/0!</v>
      </c>
    </row>
    <row r="466" spans="1:15" x14ac:dyDescent="0.4">
      <c r="A466" s="1">
        <v>465</v>
      </c>
      <c r="D466" s="2"/>
      <c r="J466" s="2" t="s">
        <v>19</v>
      </c>
      <c r="K466" s="1" t="s">
        <v>20</v>
      </c>
      <c r="M466" s="6"/>
      <c r="N466" s="7"/>
      <c r="O466" s="7" t="e">
        <f t="shared" si="8"/>
        <v>#DIV/0!</v>
      </c>
    </row>
    <row r="467" spans="1:15" x14ac:dyDescent="0.4">
      <c r="A467" s="1">
        <v>466</v>
      </c>
      <c r="D467" s="2"/>
      <c r="J467" s="2" t="s">
        <v>19</v>
      </c>
      <c r="K467" s="1" t="s">
        <v>20</v>
      </c>
      <c r="M467" s="6"/>
      <c r="N467" s="7"/>
      <c r="O467" s="7" t="e">
        <f t="shared" si="8"/>
        <v>#DIV/0!</v>
      </c>
    </row>
    <row r="468" spans="1:15" x14ac:dyDescent="0.4">
      <c r="A468" s="1">
        <v>467</v>
      </c>
      <c r="D468" s="2"/>
      <c r="J468" s="2" t="s">
        <v>19</v>
      </c>
      <c r="K468" s="1" t="s">
        <v>20</v>
      </c>
      <c r="M468" s="6"/>
      <c r="N468" s="7"/>
      <c r="O468" s="7" t="e">
        <f t="shared" si="8"/>
        <v>#DIV/0!</v>
      </c>
    </row>
    <row r="469" spans="1:15" x14ac:dyDescent="0.4">
      <c r="A469" s="1">
        <v>468</v>
      </c>
      <c r="D469" s="2"/>
      <c r="J469" s="2" t="s">
        <v>19</v>
      </c>
      <c r="K469" s="1" t="s">
        <v>20</v>
      </c>
      <c r="M469" s="6"/>
      <c r="N469" s="7"/>
      <c r="O469" s="7" t="e">
        <f t="shared" si="8"/>
        <v>#DIV/0!</v>
      </c>
    </row>
    <row r="470" spans="1:15" x14ac:dyDescent="0.4">
      <c r="A470" s="1">
        <v>469</v>
      </c>
      <c r="D470" s="2"/>
      <c r="J470" s="2" t="s">
        <v>19</v>
      </c>
      <c r="K470" s="1" t="s">
        <v>20</v>
      </c>
      <c r="M470" s="6"/>
      <c r="N470" s="7"/>
      <c r="O470" s="7" t="e">
        <f t="shared" si="8"/>
        <v>#DIV/0!</v>
      </c>
    </row>
    <row r="471" spans="1:15" x14ac:dyDescent="0.4">
      <c r="A471" s="1">
        <v>470</v>
      </c>
      <c r="D471" s="2"/>
      <c r="J471" s="2" t="s">
        <v>19</v>
      </c>
      <c r="K471" s="1" t="s">
        <v>20</v>
      </c>
      <c r="M471" s="6"/>
      <c r="N471" s="7"/>
      <c r="O471" s="7" t="e">
        <f t="shared" si="8"/>
        <v>#DIV/0!</v>
      </c>
    </row>
    <row r="472" spans="1:15" x14ac:dyDescent="0.4">
      <c r="A472" s="1">
        <v>471</v>
      </c>
      <c r="D472" s="2"/>
      <c r="J472" s="2" t="s">
        <v>19</v>
      </c>
      <c r="K472" s="1" t="s">
        <v>20</v>
      </c>
      <c r="M472" s="6"/>
      <c r="N472" s="7"/>
      <c r="O472" s="7" t="e">
        <f t="shared" si="8"/>
        <v>#DIV/0!</v>
      </c>
    </row>
    <row r="473" spans="1:15" x14ac:dyDescent="0.4">
      <c r="A473" s="1">
        <v>472</v>
      </c>
      <c r="D473" s="2"/>
      <c r="J473" s="2" t="s">
        <v>19</v>
      </c>
      <c r="K473" s="1" t="s">
        <v>20</v>
      </c>
      <c r="M473" s="6"/>
      <c r="N473" s="7"/>
      <c r="O473" s="7" t="e">
        <f t="shared" si="8"/>
        <v>#DIV/0!</v>
      </c>
    </row>
    <row r="474" spans="1:15" x14ac:dyDescent="0.4">
      <c r="A474" s="1">
        <v>473</v>
      </c>
      <c r="D474" s="2"/>
      <c r="J474" s="2" t="s">
        <v>19</v>
      </c>
      <c r="K474" s="1" t="s">
        <v>20</v>
      </c>
      <c r="M474" s="6"/>
      <c r="N474" s="7"/>
      <c r="O474" s="7" t="e">
        <f t="shared" si="8"/>
        <v>#DIV/0!</v>
      </c>
    </row>
    <row r="475" spans="1:15" x14ac:dyDescent="0.4">
      <c r="A475" s="1">
        <v>474</v>
      </c>
      <c r="D475" s="2"/>
      <c r="J475" s="2" t="s">
        <v>19</v>
      </c>
      <c r="K475" s="1" t="s">
        <v>20</v>
      </c>
      <c r="M475" s="6"/>
      <c r="N475" s="7"/>
      <c r="O475" s="7" t="e">
        <f t="shared" si="8"/>
        <v>#DIV/0!</v>
      </c>
    </row>
    <row r="476" spans="1:15" x14ac:dyDescent="0.4">
      <c r="A476" s="1">
        <v>475</v>
      </c>
      <c r="D476" s="2"/>
      <c r="J476" s="2" t="s">
        <v>19</v>
      </c>
      <c r="K476" s="1" t="s">
        <v>20</v>
      </c>
      <c r="M476" s="6"/>
      <c r="N476" s="7"/>
      <c r="O476" s="7" t="e">
        <f t="shared" si="8"/>
        <v>#DIV/0!</v>
      </c>
    </row>
    <row r="477" spans="1:15" x14ac:dyDescent="0.4">
      <c r="A477" s="1">
        <v>476</v>
      </c>
      <c r="D477" s="2"/>
      <c r="J477" s="2" t="s">
        <v>19</v>
      </c>
      <c r="K477" s="1" t="s">
        <v>20</v>
      </c>
      <c r="M477" s="6"/>
      <c r="N477" s="7"/>
      <c r="O477" s="7" t="e">
        <f t="shared" si="8"/>
        <v>#DIV/0!</v>
      </c>
    </row>
    <row r="478" spans="1:15" x14ac:dyDescent="0.4">
      <c r="A478" s="1">
        <v>477</v>
      </c>
      <c r="D478" s="2"/>
      <c r="J478" s="2" t="s">
        <v>19</v>
      </c>
      <c r="K478" s="1" t="s">
        <v>20</v>
      </c>
      <c r="M478" s="6"/>
      <c r="N478" s="7"/>
      <c r="O478" s="7" t="e">
        <f t="shared" si="8"/>
        <v>#DIV/0!</v>
      </c>
    </row>
    <row r="479" spans="1:15" x14ac:dyDescent="0.4">
      <c r="A479" s="1">
        <v>478</v>
      </c>
      <c r="D479" s="2"/>
      <c r="J479" s="2" t="s">
        <v>19</v>
      </c>
      <c r="K479" s="1" t="s">
        <v>20</v>
      </c>
      <c r="M479" s="6"/>
      <c r="N479" s="7"/>
      <c r="O479" s="7" t="e">
        <f t="shared" si="8"/>
        <v>#DIV/0!</v>
      </c>
    </row>
    <row r="480" spans="1:15" x14ac:dyDescent="0.4">
      <c r="A480" s="1">
        <v>479</v>
      </c>
      <c r="D480" s="2"/>
      <c r="J480" s="2" t="s">
        <v>19</v>
      </c>
      <c r="K480" s="1" t="s">
        <v>20</v>
      </c>
      <c r="M480" s="6"/>
      <c r="N480" s="7"/>
      <c r="O480" s="7" t="e">
        <f t="shared" si="8"/>
        <v>#DIV/0!</v>
      </c>
    </row>
    <row r="481" spans="1:15" x14ac:dyDescent="0.4">
      <c r="A481" s="1">
        <v>480</v>
      </c>
      <c r="D481" s="2"/>
      <c r="J481" s="2" t="s">
        <v>19</v>
      </c>
      <c r="K481" s="1" t="s">
        <v>20</v>
      </c>
      <c r="M481" s="6"/>
      <c r="N481" s="7"/>
      <c r="O481" s="7" t="e">
        <f t="shared" si="8"/>
        <v>#DIV/0!</v>
      </c>
    </row>
    <row r="482" spans="1:15" x14ac:dyDescent="0.4">
      <c r="A482" s="1">
        <v>481</v>
      </c>
      <c r="D482" s="2"/>
      <c r="J482" s="2" t="s">
        <v>19</v>
      </c>
      <c r="K482" s="1" t="s">
        <v>20</v>
      </c>
      <c r="M482" s="6"/>
      <c r="N482" s="7"/>
      <c r="O482" s="7" t="e">
        <f t="shared" si="8"/>
        <v>#DIV/0!</v>
      </c>
    </row>
    <row r="483" spans="1:15" x14ac:dyDescent="0.4">
      <c r="A483" s="1">
        <v>482</v>
      </c>
      <c r="D483" s="2"/>
      <c r="J483" s="2" t="s">
        <v>19</v>
      </c>
      <c r="K483" s="1" t="s">
        <v>20</v>
      </c>
      <c r="M483" s="6"/>
      <c r="N483" s="7"/>
      <c r="O483" s="7" t="e">
        <f t="shared" si="8"/>
        <v>#DIV/0!</v>
      </c>
    </row>
    <row r="484" spans="1:15" x14ac:dyDescent="0.4">
      <c r="A484" s="1">
        <v>483</v>
      </c>
      <c r="D484" s="2"/>
      <c r="J484" s="2" t="s">
        <v>19</v>
      </c>
      <c r="K484" s="1" t="s">
        <v>20</v>
      </c>
      <c r="M484" s="6"/>
      <c r="N484" s="7"/>
      <c r="O484" s="7" t="e">
        <f t="shared" si="8"/>
        <v>#DIV/0!</v>
      </c>
    </row>
    <row r="485" spans="1:15" x14ac:dyDescent="0.4">
      <c r="A485" s="1">
        <v>484</v>
      </c>
      <c r="D485" s="2"/>
      <c r="J485" s="2" t="s">
        <v>19</v>
      </c>
      <c r="K485" s="1" t="s">
        <v>20</v>
      </c>
      <c r="M485" s="6"/>
      <c r="N485" s="7"/>
      <c r="O485" s="7" t="e">
        <f t="shared" si="8"/>
        <v>#DIV/0!</v>
      </c>
    </row>
    <row r="486" spans="1:15" x14ac:dyDescent="0.4">
      <c r="A486" s="1">
        <v>485</v>
      </c>
      <c r="D486" s="2"/>
      <c r="J486" s="2" t="s">
        <v>19</v>
      </c>
      <c r="K486" s="1" t="s">
        <v>20</v>
      </c>
      <c r="M486" s="6"/>
      <c r="N486" s="7"/>
      <c r="O486" s="7" t="e">
        <f t="shared" si="8"/>
        <v>#DIV/0!</v>
      </c>
    </row>
    <row r="487" spans="1:15" x14ac:dyDescent="0.4">
      <c r="A487" s="1">
        <v>486</v>
      </c>
      <c r="D487" s="2"/>
      <c r="J487" s="2" t="s">
        <v>19</v>
      </c>
      <c r="K487" s="1" t="s">
        <v>20</v>
      </c>
      <c r="M487" s="6"/>
      <c r="N487" s="7"/>
      <c r="O487" s="7" t="e">
        <f t="shared" si="8"/>
        <v>#DIV/0!</v>
      </c>
    </row>
    <row r="488" spans="1:15" x14ac:dyDescent="0.4">
      <c r="A488" s="1">
        <v>487</v>
      </c>
      <c r="D488" s="2"/>
      <c r="J488" s="2" t="s">
        <v>19</v>
      </c>
      <c r="K488" s="1" t="s">
        <v>20</v>
      </c>
      <c r="M488" s="6"/>
      <c r="N488" s="7"/>
      <c r="O488" s="7" t="e">
        <f t="shared" si="8"/>
        <v>#DIV/0!</v>
      </c>
    </row>
    <row r="489" spans="1:15" x14ac:dyDescent="0.4">
      <c r="A489" s="1">
        <v>488</v>
      </c>
      <c r="D489" s="2"/>
      <c r="J489" s="2" t="s">
        <v>19</v>
      </c>
      <c r="K489" s="1" t="s">
        <v>20</v>
      </c>
      <c r="M489" s="6"/>
      <c r="N489" s="7"/>
      <c r="O489" s="7" t="e">
        <f t="shared" si="8"/>
        <v>#DIV/0!</v>
      </c>
    </row>
    <row r="490" spans="1:15" x14ac:dyDescent="0.4">
      <c r="A490" s="1">
        <v>489</v>
      </c>
      <c r="D490" s="2"/>
      <c r="J490" s="2" t="s">
        <v>19</v>
      </c>
      <c r="K490" s="1" t="s">
        <v>20</v>
      </c>
      <c r="M490" s="6"/>
      <c r="N490" s="7"/>
      <c r="O490" s="7" t="e">
        <f t="shared" si="8"/>
        <v>#DIV/0!</v>
      </c>
    </row>
    <row r="491" spans="1:15" x14ac:dyDescent="0.4">
      <c r="A491" s="1">
        <v>490</v>
      </c>
      <c r="D491" s="2"/>
      <c r="J491" s="2" t="s">
        <v>19</v>
      </c>
      <c r="K491" s="1" t="s">
        <v>20</v>
      </c>
      <c r="M491" s="6"/>
      <c r="N491" s="7"/>
      <c r="O491" s="7" t="e">
        <f t="shared" si="8"/>
        <v>#DIV/0!</v>
      </c>
    </row>
    <row r="492" spans="1:15" x14ac:dyDescent="0.4">
      <c r="A492" s="1">
        <v>491</v>
      </c>
      <c r="D492" s="2"/>
      <c r="J492" s="2" t="s">
        <v>19</v>
      </c>
      <c r="K492" s="1" t="s">
        <v>20</v>
      </c>
      <c r="M492" s="6"/>
      <c r="N492" s="7"/>
      <c r="O492" s="7" t="e">
        <f t="shared" si="8"/>
        <v>#DIV/0!</v>
      </c>
    </row>
    <row r="493" spans="1:15" x14ac:dyDescent="0.4">
      <c r="A493" s="1">
        <v>492</v>
      </c>
      <c r="D493" s="2"/>
      <c r="J493" s="2" t="s">
        <v>19</v>
      </c>
      <c r="K493" s="1" t="s">
        <v>20</v>
      </c>
      <c r="M493" s="6"/>
      <c r="N493" s="7"/>
      <c r="O493" s="7" t="e">
        <f t="shared" si="8"/>
        <v>#DIV/0!</v>
      </c>
    </row>
    <row r="494" spans="1:15" x14ac:dyDescent="0.4">
      <c r="A494" s="1">
        <v>493</v>
      </c>
      <c r="D494" s="2"/>
      <c r="J494" s="2" t="s">
        <v>19</v>
      </c>
      <c r="K494" s="1" t="s">
        <v>20</v>
      </c>
      <c r="M494" s="6"/>
      <c r="N494" s="7"/>
      <c r="O494" s="7" t="e">
        <f t="shared" si="8"/>
        <v>#DIV/0!</v>
      </c>
    </row>
    <row r="495" spans="1:15" x14ac:dyDescent="0.4">
      <c r="A495" s="1">
        <v>494</v>
      </c>
      <c r="D495" s="2"/>
      <c r="J495" s="2" t="s">
        <v>19</v>
      </c>
      <c r="K495" s="1" t="s">
        <v>20</v>
      </c>
      <c r="M495" s="6"/>
      <c r="N495" s="7"/>
      <c r="O495" s="7" t="e">
        <f t="shared" si="8"/>
        <v>#DIV/0!</v>
      </c>
    </row>
    <row r="496" spans="1:15" x14ac:dyDescent="0.4">
      <c r="A496" s="1">
        <v>495</v>
      </c>
      <c r="D496" s="2"/>
      <c r="J496" s="2" t="s">
        <v>19</v>
      </c>
      <c r="K496" s="1" t="s">
        <v>20</v>
      </c>
      <c r="M496" s="6"/>
      <c r="N496" s="7"/>
      <c r="O496" s="7" t="e">
        <f t="shared" si="8"/>
        <v>#DIV/0!</v>
      </c>
    </row>
    <row r="497" spans="1:15" x14ac:dyDescent="0.4">
      <c r="A497" s="1">
        <v>496</v>
      </c>
      <c r="D497" s="2"/>
      <c r="J497" s="2" t="s">
        <v>19</v>
      </c>
      <c r="K497" s="1" t="s">
        <v>20</v>
      </c>
      <c r="M497" s="6"/>
      <c r="N497" s="7"/>
      <c r="O497" s="7" t="e">
        <f t="shared" si="8"/>
        <v>#DIV/0!</v>
      </c>
    </row>
    <row r="498" spans="1:15" x14ac:dyDescent="0.4">
      <c r="A498" s="1">
        <v>497</v>
      </c>
      <c r="D498" s="2"/>
      <c r="J498" s="2" t="s">
        <v>19</v>
      </c>
      <c r="K498" s="1" t="s">
        <v>20</v>
      </c>
      <c r="M498" s="6"/>
      <c r="N498" s="7"/>
      <c r="O498" s="7" t="e">
        <f t="shared" si="8"/>
        <v>#DIV/0!</v>
      </c>
    </row>
    <row r="499" spans="1:15" x14ac:dyDescent="0.4">
      <c r="A499" s="1">
        <v>498</v>
      </c>
      <c r="D499" s="2"/>
      <c r="J499" s="2" t="s">
        <v>19</v>
      </c>
      <c r="K499" s="1" t="s">
        <v>20</v>
      </c>
      <c r="M499" s="6"/>
      <c r="N499" s="7"/>
      <c r="O499" s="7" t="e">
        <f t="shared" si="8"/>
        <v>#DIV/0!</v>
      </c>
    </row>
    <row r="500" spans="1:15" x14ac:dyDescent="0.4">
      <c r="A500" s="1">
        <v>499</v>
      </c>
      <c r="D500" s="2"/>
      <c r="J500" s="2" t="s">
        <v>19</v>
      </c>
      <c r="K500" s="1" t="s">
        <v>20</v>
      </c>
      <c r="M500" s="6"/>
      <c r="N500" s="7"/>
      <c r="O500" s="7" t="e">
        <f t="shared" si="8"/>
        <v>#DIV/0!</v>
      </c>
    </row>
    <row r="501" spans="1:15" x14ac:dyDescent="0.4">
      <c r="A501" s="1">
        <v>500</v>
      </c>
      <c r="D501" s="2"/>
      <c r="J501" s="2" t="s">
        <v>19</v>
      </c>
      <c r="K501" s="1" t="s">
        <v>20</v>
      </c>
      <c r="M501" s="6"/>
      <c r="N501" s="7"/>
      <c r="O501" s="7" t="e">
        <f t="shared" si="8"/>
        <v>#DIV/0!</v>
      </c>
    </row>
    <row r="502" spans="1:15" x14ac:dyDescent="0.4">
      <c r="A502" s="1">
        <v>501</v>
      </c>
      <c r="D502" s="2"/>
      <c r="J502" s="2" t="s">
        <v>19</v>
      </c>
      <c r="K502" s="1" t="s">
        <v>20</v>
      </c>
      <c r="M502" s="6"/>
      <c r="N502" s="7"/>
      <c r="O502" s="7" t="e">
        <f t="shared" si="8"/>
        <v>#DIV/0!</v>
      </c>
    </row>
    <row r="503" spans="1:15" x14ac:dyDescent="0.4">
      <c r="A503" s="1">
        <v>502</v>
      </c>
      <c r="D503" s="2"/>
      <c r="J503" s="2" t="s">
        <v>19</v>
      </c>
      <c r="K503" s="1" t="s">
        <v>20</v>
      </c>
      <c r="M503" s="6"/>
      <c r="N503" s="7"/>
      <c r="O503" s="7" t="e">
        <f t="shared" si="8"/>
        <v>#DIV/0!</v>
      </c>
    </row>
    <row r="504" spans="1:15" x14ac:dyDescent="0.4">
      <c r="A504" s="1">
        <v>503</v>
      </c>
      <c r="D504" s="2"/>
      <c r="J504" s="2" t="s">
        <v>19</v>
      </c>
      <c r="K504" s="1" t="s">
        <v>20</v>
      </c>
      <c r="M504" s="6"/>
      <c r="N504" s="7"/>
      <c r="O504" s="7" t="e">
        <f t="shared" si="8"/>
        <v>#DIV/0!</v>
      </c>
    </row>
    <row r="505" spans="1:15" x14ac:dyDescent="0.4">
      <c r="A505" s="1">
        <v>504</v>
      </c>
      <c r="D505" s="2"/>
      <c r="J505" s="2" t="s">
        <v>19</v>
      </c>
      <c r="K505" s="1" t="s">
        <v>20</v>
      </c>
      <c r="M505" s="6"/>
      <c r="N505" s="7"/>
      <c r="O505" s="7" t="e">
        <f t="shared" si="8"/>
        <v>#DIV/0!</v>
      </c>
    </row>
    <row r="506" spans="1:15" x14ac:dyDescent="0.4">
      <c r="A506" s="1">
        <v>505</v>
      </c>
      <c r="D506" s="2"/>
      <c r="J506" s="2" t="s">
        <v>19</v>
      </c>
      <c r="K506" s="1" t="s">
        <v>20</v>
      </c>
      <c r="M506" s="6"/>
      <c r="N506" s="7"/>
      <c r="O506" s="7" t="e">
        <f t="shared" si="8"/>
        <v>#DIV/0!</v>
      </c>
    </row>
    <row r="507" spans="1:15" x14ac:dyDescent="0.4">
      <c r="A507" s="1">
        <v>506</v>
      </c>
      <c r="D507" s="2"/>
      <c r="J507" s="2" t="s">
        <v>19</v>
      </c>
      <c r="K507" s="1" t="s">
        <v>20</v>
      </c>
      <c r="M507" s="6"/>
      <c r="N507" s="7"/>
      <c r="O507" s="7" t="e">
        <f t="shared" si="8"/>
        <v>#DIV/0!</v>
      </c>
    </row>
    <row r="508" spans="1:15" x14ac:dyDescent="0.4">
      <c r="A508" s="1">
        <v>507</v>
      </c>
      <c r="D508" s="2"/>
      <c r="J508" s="2" t="s">
        <v>19</v>
      </c>
      <c r="K508" s="1" t="s">
        <v>20</v>
      </c>
      <c r="M508" s="6"/>
      <c r="N508" s="7"/>
      <c r="O508" s="7" t="e">
        <f t="shared" si="8"/>
        <v>#DIV/0!</v>
      </c>
    </row>
    <row r="509" spans="1:15" x14ac:dyDescent="0.4">
      <c r="A509" s="1">
        <v>508</v>
      </c>
      <c r="D509" s="2"/>
      <c r="J509" s="2" t="s">
        <v>19</v>
      </c>
      <c r="K509" s="1" t="s">
        <v>20</v>
      </c>
      <c r="M509" s="6"/>
      <c r="N509" s="7"/>
      <c r="O509" s="7" t="e">
        <f t="shared" si="8"/>
        <v>#DIV/0!</v>
      </c>
    </row>
    <row r="510" spans="1:15" x14ac:dyDescent="0.4">
      <c r="A510" s="1">
        <v>509</v>
      </c>
      <c r="D510" s="2"/>
      <c r="J510" s="2" t="s">
        <v>19</v>
      </c>
      <c r="K510" s="1" t="s">
        <v>20</v>
      </c>
      <c r="M510" s="6"/>
      <c r="N510" s="7"/>
      <c r="O510" s="7" t="e">
        <f t="shared" si="8"/>
        <v>#DIV/0!</v>
      </c>
    </row>
    <row r="511" spans="1:15" x14ac:dyDescent="0.4">
      <c r="A511" s="1">
        <v>510</v>
      </c>
      <c r="D511" s="2"/>
      <c r="J511" s="2" t="s">
        <v>19</v>
      </c>
      <c r="K511" s="1" t="s">
        <v>20</v>
      </c>
      <c r="M511" s="6"/>
      <c r="N511" s="7"/>
      <c r="O511" s="7" t="e">
        <f t="shared" si="8"/>
        <v>#DIV/0!</v>
      </c>
    </row>
    <row r="512" spans="1:15" x14ac:dyDescent="0.4">
      <c r="A512" s="1">
        <v>511</v>
      </c>
      <c r="D512" s="2"/>
      <c r="J512" s="2" t="s">
        <v>19</v>
      </c>
      <c r="K512" s="1" t="s">
        <v>20</v>
      </c>
      <c r="M512" s="6"/>
      <c r="N512" s="7"/>
      <c r="O512" s="7" t="e">
        <f t="shared" si="8"/>
        <v>#DIV/0!</v>
      </c>
    </row>
    <row r="513" spans="1:15" x14ac:dyDescent="0.4">
      <c r="A513" s="1">
        <v>512</v>
      </c>
      <c r="D513" s="2"/>
      <c r="J513" s="2" t="s">
        <v>19</v>
      </c>
      <c r="K513" s="1" t="s">
        <v>20</v>
      </c>
      <c r="M513" s="6"/>
      <c r="N513" s="7"/>
      <c r="O513" s="7" t="e">
        <f t="shared" si="8"/>
        <v>#DIV/0!</v>
      </c>
    </row>
    <row r="514" spans="1:15" x14ac:dyDescent="0.4">
      <c r="A514" s="1">
        <v>513</v>
      </c>
      <c r="D514" s="2"/>
      <c r="J514" s="2" t="s">
        <v>19</v>
      </c>
      <c r="K514" s="1" t="s">
        <v>20</v>
      </c>
      <c r="M514" s="6"/>
      <c r="N514" s="7"/>
      <c r="O514" s="7" t="e">
        <f t="shared" ref="O514:O577" si="9">N514/M514</f>
        <v>#DIV/0!</v>
      </c>
    </row>
    <row r="515" spans="1:15" x14ac:dyDescent="0.4">
      <c r="A515" s="1">
        <v>514</v>
      </c>
      <c r="D515" s="2"/>
      <c r="J515" s="2" t="s">
        <v>19</v>
      </c>
      <c r="K515" s="1" t="s">
        <v>20</v>
      </c>
      <c r="M515" s="6"/>
      <c r="N515" s="7"/>
      <c r="O515" s="7" t="e">
        <f t="shared" si="9"/>
        <v>#DIV/0!</v>
      </c>
    </row>
    <row r="516" spans="1:15" x14ac:dyDescent="0.4">
      <c r="A516" s="1">
        <v>515</v>
      </c>
      <c r="D516" s="2"/>
      <c r="J516" s="2" t="s">
        <v>19</v>
      </c>
      <c r="K516" s="1" t="s">
        <v>20</v>
      </c>
      <c r="M516" s="6"/>
      <c r="N516" s="7"/>
      <c r="O516" s="7" t="e">
        <f t="shared" si="9"/>
        <v>#DIV/0!</v>
      </c>
    </row>
    <row r="517" spans="1:15" x14ac:dyDescent="0.4">
      <c r="A517" s="1">
        <v>516</v>
      </c>
      <c r="D517" s="2"/>
      <c r="J517" s="2" t="s">
        <v>19</v>
      </c>
      <c r="K517" s="1" t="s">
        <v>20</v>
      </c>
      <c r="M517" s="6"/>
      <c r="N517" s="7"/>
      <c r="O517" s="7" t="e">
        <f t="shared" si="9"/>
        <v>#DIV/0!</v>
      </c>
    </row>
    <row r="518" spans="1:15" x14ac:dyDescent="0.4">
      <c r="A518" s="1">
        <v>517</v>
      </c>
      <c r="D518" s="2"/>
      <c r="J518" s="2" t="s">
        <v>19</v>
      </c>
      <c r="K518" s="1" t="s">
        <v>20</v>
      </c>
      <c r="M518" s="6"/>
      <c r="N518" s="7"/>
      <c r="O518" s="7" t="e">
        <f t="shared" si="9"/>
        <v>#DIV/0!</v>
      </c>
    </row>
    <row r="519" spans="1:15" x14ac:dyDescent="0.4">
      <c r="A519" s="1">
        <v>518</v>
      </c>
      <c r="D519" s="2"/>
      <c r="J519" s="2" t="s">
        <v>19</v>
      </c>
      <c r="K519" s="1" t="s">
        <v>20</v>
      </c>
      <c r="M519" s="6"/>
      <c r="N519" s="7"/>
      <c r="O519" s="7" t="e">
        <f t="shared" si="9"/>
        <v>#DIV/0!</v>
      </c>
    </row>
    <row r="520" spans="1:15" x14ac:dyDescent="0.4">
      <c r="A520" s="1">
        <v>519</v>
      </c>
      <c r="D520" s="2"/>
      <c r="J520" s="2" t="s">
        <v>19</v>
      </c>
      <c r="K520" s="1" t="s">
        <v>20</v>
      </c>
      <c r="M520" s="6"/>
      <c r="N520" s="7"/>
      <c r="O520" s="7" t="e">
        <f t="shared" si="9"/>
        <v>#DIV/0!</v>
      </c>
    </row>
    <row r="521" spans="1:15" x14ac:dyDescent="0.4">
      <c r="A521" s="1">
        <v>520</v>
      </c>
      <c r="D521" s="2"/>
      <c r="J521" s="2" t="s">
        <v>19</v>
      </c>
      <c r="K521" s="1" t="s">
        <v>20</v>
      </c>
      <c r="M521" s="6"/>
      <c r="N521" s="7"/>
      <c r="O521" s="7" t="e">
        <f t="shared" si="9"/>
        <v>#DIV/0!</v>
      </c>
    </row>
    <row r="522" spans="1:15" x14ac:dyDescent="0.4">
      <c r="A522" s="1">
        <v>521</v>
      </c>
      <c r="D522" s="2"/>
      <c r="J522" s="2" t="s">
        <v>19</v>
      </c>
      <c r="K522" s="1" t="s">
        <v>20</v>
      </c>
      <c r="M522" s="6"/>
      <c r="N522" s="7"/>
      <c r="O522" s="7" t="e">
        <f t="shared" si="9"/>
        <v>#DIV/0!</v>
      </c>
    </row>
    <row r="523" spans="1:15" x14ac:dyDescent="0.4">
      <c r="A523" s="1">
        <v>522</v>
      </c>
      <c r="D523" s="2"/>
      <c r="J523" s="2" t="s">
        <v>19</v>
      </c>
      <c r="K523" s="1" t="s">
        <v>20</v>
      </c>
      <c r="M523" s="6"/>
      <c r="N523" s="7"/>
      <c r="O523" s="7" t="e">
        <f t="shared" si="9"/>
        <v>#DIV/0!</v>
      </c>
    </row>
    <row r="524" spans="1:15" x14ac:dyDescent="0.4">
      <c r="A524" s="1">
        <v>523</v>
      </c>
      <c r="D524" s="2"/>
      <c r="J524" s="2" t="s">
        <v>19</v>
      </c>
      <c r="K524" s="1" t="s">
        <v>20</v>
      </c>
      <c r="M524" s="6"/>
      <c r="N524" s="7"/>
      <c r="O524" s="7" t="e">
        <f t="shared" si="9"/>
        <v>#DIV/0!</v>
      </c>
    </row>
    <row r="525" spans="1:15" x14ac:dyDescent="0.4">
      <c r="A525" s="1">
        <v>524</v>
      </c>
      <c r="D525" s="2"/>
      <c r="J525" s="2" t="s">
        <v>19</v>
      </c>
      <c r="K525" s="1" t="s">
        <v>20</v>
      </c>
      <c r="M525" s="6"/>
      <c r="N525" s="7"/>
      <c r="O525" s="7" t="e">
        <f t="shared" si="9"/>
        <v>#DIV/0!</v>
      </c>
    </row>
    <row r="526" spans="1:15" x14ac:dyDescent="0.4">
      <c r="A526" s="1">
        <v>525</v>
      </c>
      <c r="D526" s="2"/>
      <c r="J526" s="2" t="s">
        <v>19</v>
      </c>
      <c r="K526" s="1" t="s">
        <v>20</v>
      </c>
      <c r="M526" s="6"/>
      <c r="N526" s="7"/>
      <c r="O526" s="7" t="e">
        <f t="shared" si="9"/>
        <v>#DIV/0!</v>
      </c>
    </row>
    <row r="527" spans="1:15" x14ac:dyDescent="0.4">
      <c r="A527" s="1">
        <v>526</v>
      </c>
      <c r="D527" s="2"/>
      <c r="J527" s="2" t="s">
        <v>19</v>
      </c>
      <c r="K527" s="1" t="s">
        <v>20</v>
      </c>
      <c r="M527" s="6"/>
      <c r="N527" s="7"/>
      <c r="O527" s="7" t="e">
        <f t="shared" si="9"/>
        <v>#DIV/0!</v>
      </c>
    </row>
    <row r="528" spans="1:15" x14ac:dyDescent="0.4">
      <c r="A528" s="1">
        <v>527</v>
      </c>
      <c r="D528" s="2"/>
      <c r="J528" s="2" t="s">
        <v>19</v>
      </c>
      <c r="K528" s="1" t="s">
        <v>20</v>
      </c>
      <c r="M528" s="6"/>
      <c r="N528" s="7"/>
      <c r="O528" s="7" t="e">
        <f t="shared" si="9"/>
        <v>#DIV/0!</v>
      </c>
    </row>
    <row r="529" spans="1:15" x14ac:dyDescent="0.4">
      <c r="A529" s="1">
        <v>528</v>
      </c>
      <c r="D529" s="2"/>
      <c r="J529" s="2" t="s">
        <v>19</v>
      </c>
      <c r="K529" s="1" t="s">
        <v>20</v>
      </c>
      <c r="M529" s="6"/>
      <c r="N529" s="7"/>
      <c r="O529" s="7" t="e">
        <f t="shared" si="9"/>
        <v>#DIV/0!</v>
      </c>
    </row>
    <row r="530" spans="1:15" x14ac:dyDescent="0.4">
      <c r="A530" s="1">
        <v>529</v>
      </c>
      <c r="D530" s="2"/>
      <c r="J530" s="2" t="s">
        <v>19</v>
      </c>
      <c r="K530" s="1" t="s">
        <v>20</v>
      </c>
      <c r="M530" s="6"/>
      <c r="N530" s="7"/>
      <c r="O530" s="7" t="e">
        <f t="shared" si="9"/>
        <v>#DIV/0!</v>
      </c>
    </row>
    <row r="531" spans="1:15" x14ac:dyDescent="0.4">
      <c r="A531" s="1">
        <v>530</v>
      </c>
      <c r="D531" s="2"/>
      <c r="J531" s="2" t="s">
        <v>19</v>
      </c>
      <c r="K531" s="1" t="s">
        <v>20</v>
      </c>
      <c r="M531" s="6"/>
      <c r="N531" s="7"/>
      <c r="O531" s="7" t="e">
        <f t="shared" si="9"/>
        <v>#DIV/0!</v>
      </c>
    </row>
    <row r="532" spans="1:15" x14ac:dyDescent="0.4">
      <c r="A532" s="1">
        <v>531</v>
      </c>
      <c r="D532" s="2"/>
      <c r="J532" s="2" t="s">
        <v>19</v>
      </c>
      <c r="K532" s="1" t="s">
        <v>20</v>
      </c>
      <c r="M532" s="6"/>
      <c r="N532" s="7"/>
      <c r="O532" s="7" t="e">
        <f t="shared" si="9"/>
        <v>#DIV/0!</v>
      </c>
    </row>
    <row r="533" spans="1:15" x14ac:dyDescent="0.4">
      <c r="A533" s="1">
        <v>532</v>
      </c>
      <c r="D533" s="2"/>
      <c r="J533" s="2" t="s">
        <v>19</v>
      </c>
      <c r="K533" s="1" t="s">
        <v>20</v>
      </c>
      <c r="M533" s="6"/>
      <c r="N533" s="7"/>
      <c r="O533" s="7" t="e">
        <f t="shared" si="9"/>
        <v>#DIV/0!</v>
      </c>
    </row>
    <row r="534" spans="1:15" x14ac:dyDescent="0.4">
      <c r="A534" s="1">
        <v>533</v>
      </c>
      <c r="D534" s="2"/>
      <c r="J534" s="2" t="s">
        <v>19</v>
      </c>
      <c r="K534" s="1" t="s">
        <v>20</v>
      </c>
      <c r="M534" s="6"/>
      <c r="N534" s="7"/>
      <c r="O534" s="7" t="e">
        <f t="shared" si="9"/>
        <v>#DIV/0!</v>
      </c>
    </row>
    <row r="535" spans="1:15" x14ac:dyDescent="0.4">
      <c r="A535" s="1">
        <v>534</v>
      </c>
      <c r="D535" s="2"/>
      <c r="J535" s="2" t="s">
        <v>19</v>
      </c>
      <c r="K535" s="1" t="s">
        <v>20</v>
      </c>
      <c r="M535" s="6"/>
      <c r="N535" s="7"/>
      <c r="O535" s="7" t="e">
        <f t="shared" si="9"/>
        <v>#DIV/0!</v>
      </c>
    </row>
    <row r="536" spans="1:15" x14ac:dyDescent="0.4">
      <c r="A536" s="1">
        <v>535</v>
      </c>
      <c r="D536" s="2"/>
      <c r="J536" s="2" t="s">
        <v>19</v>
      </c>
      <c r="K536" s="1" t="s">
        <v>20</v>
      </c>
      <c r="M536" s="6"/>
      <c r="N536" s="7"/>
      <c r="O536" s="7" t="e">
        <f t="shared" si="9"/>
        <v>#DIV/0!</v>
      </c>
    </row>
    <row r="537" spans="1:15" x14ac:dyDescent="0.4">
      <c r="A537" s="1">
        <v>536</v>
      </c>
      <c r="D537" s="2"/>
      <c r="J537" s="2" t="s">
        <v>19</v>
      </c>
      <c r="K537" s="1" t="s">
        <v>20</v>
      </c>
      <c r="M537" s="6"/>
      <c r="N537" s="7"/>
      <c r="O537" s="7" t="e">
        <f t="shared" si="9"/>
        <v>#DIV/0!</v>
      </c>
    </row>
    <row r="538" spans="1:15" x14ac:dyDescent="0.4">
      <c r="A538" s="1">
        <v>537</v>
      </c>
      <c r="D538" s="2"/>
      <c r="J538" s="2" t="s">
        <v>19</v>
      </c>
      <c r="K538" s="1" t="s">
        <v>20</v>
      </c>
      <c r="M538" s="6"/>
      <c r="N538" s="7"/>
      <c r="O538" s="7" t="e">
        <f t="shared" si="9"/>
        <v>#DIV/0!</v>
      </c>
    </row>
    <row r="539" spans="1:15" x14ac:dyDescent="0.4">
      <c r="A539" s="1">
        <v>538</v>
      </c>
      <c r="D539" s="2"/>
      <c r="J539" s="2" t="s">
        <v>19</v>
      </c>
      <c r="K539" s="1" t="s">
        <v>20</v>
      </c>
      <c r="M539" s="6"/>
      <c r="N539" s="7"/>
      <c r="O539" s="7" t="e">
        <f t="shared" si="9"/>
        <v>#DIV/0!</v>
      </c>
    </row>
    <row r="540" spans="1:15" x14ac:dyDescent="0.4">
      <c r="A540" s="1">
        <v>539</v>
      </c>
      <c r="D540" s="2"/>
      <c r="J540" s="2" t="s">
        <v>19</v>
      </c>
      <c r="K540" s="1" t="s">
        <v>20</v>
      </c>
      <c r="M540" s="6"/>
      <c r="N540" s="7"/>
      <c r="O540" s="7" t="e">
        <f t="shared" si="9"/>
        <v>#DIV/0!</v>
      </c>
    </row>
    <row r="541" spans="1:15" x14ac:dyDescent="0.4">
      <c r="A541" s="1">
        <v>540</v>
      </c>
      <c r="D541" s="2"/>
      <c r="J541" s="2" t="s">
        <v>19</v>
      </c>
      <c r="K541" s="1" t="s">
        <v>20</v>
      </c>
      <c r="M541" s="6"/>
      <c r="N541" s="7"/>
      <c r="O541" s="7" t="e">
        <f t="shared" si="9"/>
        <v>#DIV/0!</v>
      </c>
    </row>
    <row r="542" spans="1:15" x14ac:dyDescent="0.4">
      <c r="A542" s="1">
        <v>541</v>
      </c>
      <c r="D542" s="2"/>
      <c r="J542" s="2" t="s">
        <v>19</v>
      </c>
      <c r="K542" s="1" t="s">
        <v>20</v>
      </c>
      <c r="M542" s="6"/>
      <c r="N542" s="7"/>
      <c r="O542" s="7" t="e">
        <f t="shared" si="9"/>
        <v>#DIV/0!</v>
      </c>
    </row>
    <row r="543" spans="1:15" x14ac:dyDescent="0.4">
      <c r="A543" s="1">
        <v>542</v>
      </c>
      <c r="D543" s="2"/>
      <c r="J543" s="2" t="s">
        <v>19</v>
      </c>
      <c r="K543" s="1" t="s">
        <v>20</v>
      </c>
      <c r="M543" s="6"/>
      <c r="N543" s="7"/>
      <c r="O543" s="7" t="e">
        <f t="shared" si="9"/>
        <v>#DIV/0!</v>
      </c>
    </row>
    <row r="544" spans="1:15" x14ac:dyDescent="0.4">
      <c r="A544" s="1">
        <v>543</v>
      </c>
      <c r="D544" s="2"/>
      <c r="J544" s="2" t="s">
        <v>19</v>
      </c>
      <c r="K544" s="1" t="s">
        <v>20</v>
      </c>
      <c r="M544" s="6"/>
      <c r="N544" s="7"/>
      <c r="O544" s="7" t="e">
        <f t="shared" si="9"/>
        <v>#DIV/0!</v>
      </c>
    </row>
    <row r="545" spans="1:15" x14ac:dyDescent="0.4">
      <c r="A545" s="1">
        <v>544</v>
      </c>
      <c r="D545" s="2"/>
      <c r="J545" s="2" t="s">
        <v>19</v>
      </c>
      <c r="K545" s="1" t="s">
        <v>20</v>
      </c>
      <c r="M545" s="6"/>
      <c r="N545" s="7"/>
      <c r="O545" s="7" t="e">
        <f t="shared" si="9"/>
        <v>#DIV/0!</v>
      </c>
    </row>
    <row r="546" spans="1:15" x14ac:dyDescent="0.4">
      <c r="A546" s="1">
        <v>545</v>
      </c>
      <c r="D546" s="2"/>
      <c r="J546" s="2" t="s">
        <v>19</v>
      </c>
      <c r="K546" s="1" t="s">
        <v>20</v>
      </c>
      <c r="M546" s="6"/>
      <c r="N546" s="7"/>
      <c r="O546" s="7" t="e">
        <f t="shared" si="9"/>
        <v>#DIV/0!</v>
      </c>
    </row>
    <row r="547" spans="1:15" x14ac:dyDescent="0.4">
      <c r="A547" s="1">
        <v>546</v>
      </c>
      <c r="D547" s="2"/>
      <c r="J547" s="2" t="s">
        <v>19</v>
      </c>
      <c r="K547" s="1" t="s">
        <v>20</v>
      </c>
      <c r="M547" s="6"/>
      <c r="N547" s="7"/>
      <c r="O547" s="7" t="e">
        <f t="shared" si="9"/>
        <v>#DIV/0!</v>
      </c>
    </row>
    <row r="548" spans="1:15" x14ac:dyDescent="0.4">
      <c r="A548" s="1">
        <v>547</v>
      </c>
      <c r="D548" s="2"/>
      <c r="J548" s="2" t="s">
        <v>19</v>
      </c>
      <c r="K548" s="1" t="s">
        <v>20</v>
      </c>
      <c r="M548" s="6"/>
      <c r="N548" s="7"/>
      <c r="O548" s="7" t="e">
        <f t="shared" si="9"/>
        <v>#DIV/0!</v>
      </c>
    </row>
    <row r="549" spans="1:15" x14ac:dyDescent="0.4">
      <c r="A549" s="1">
        <v>548</v>
      </c>
      <c r="D549" s="2"/>
      <c r="J549" s="2" t="s">
        <v>19</v>
      </c>
      <c r="K549" s="1" t="s">
        <v>20</v>
      </c>
      <c r="M549" s="6"/>
      <c r="N549" s="7"/>
      <c r="O549" s="7" t="e">
        <f t="shared" si="9"/>
        <v>#DIV/0!</v>
      </c>
    </row>
    <row r="550" spans="1:15" x14ac:dyDescent="0.4">
      <c r="A550" s="1">
        <v>549</v>
      </c>
      <c r="D550" s="2"/>
      <c r="J550" s="2" t="s">
        <v>19</v>
      </c>
      <c r="K550" s="1" t="s">
        <v>20</v>
      </c>
      <c r="M550" s="6"/>
      <c r="N550" s="7"/>
      <c r="O550" s="7" t="e">
        <f t="shared" si="9"/>
        <v>#DIV/0!</v>
      </c>
    </row>
    <row r="551" spans="1:15" x14ac:dyDescent="0.4">
      <c r="A551" s="1">
        <v>550</v>
      </c>
      <c r="D551" s="2"/>
      <c r="J551" s="2" t="s">
        <v>19</v>
      </c>
      <c r="K551" s="1" t="s">
        <v>20</v>
      </c>
      <c r="M551" s="6"/>
      <c r="N551" s="7"/>
      <c r="O551" s="7" t="e">
        <f t="shared" si="9"/>
        <v>#DIV/0!</v>
      </c>
    </row>
    <row r="552" spans="1:15" x14ac:dyDescent="0.4">
      <c r="A552" s="1">
        <v>551</v>
      </c>
      <c r="D552" s="2"/>
      <c r="J552" s="2" t="s">
        <v>19</v>
      </c>
      <c r="K552" s="1" t="s">
        <v>20</v>
      </c>
      <c r="M552" s="6"/>
      <c r="N552" s="7"/>
      <c r="O552" s="7" t="e">
        <f t="shared" si="9"/>
        <v>#DIV/0!</v>
      </c>
    </row>
    <row r="553" spans="1:15" x14ac:dyDescent="0.4">
      <c r="A553" s="1">
        <v>552</v>
      </c>
      <c r="D553" s="2"/>
      <c r="J553" s="2" t="s">
        <v>19</v>
      </c>
      <c r="K553" s="1" t="s">
        <v>20</v>
      </c>
      <c r="M553" s="6"/>
      <c r="N553" s="7"/>
      <c r="O553" s="7" t="e">
        <f t="shared" si="9"/>
        <v>#DIV/0!</v>
      </c>
    </row>
    <row r="554" spans="1:15" x14ac:dyDescent="0.4">
      <c r="A554" s="1">
        <v>553</v>
      </c>
      <c r="D554" s="2"/>
      <c r="J554" s="2" t="s">
        <v>19</v>
      </c>
      <c r="K554" s="1" t="s">
        <v>20</v>
      </c>
      <c r="M554" s="6"/>
      <c r="N554" s="7"/>
      <c r="O554" s="7" t="e">
        <f t="shared" si="9"/>
        <v>#DIV/0!</v>
      </c>
    </row>
    <row r="555" spans="1:15" x14ac:dyDescent="0.4">
      <c r="A555" s="1">
        <v>554</v>
      </c>
      <c r="D555" s="2"/>
      <c r="J555" s="2" t="s">
        <v>19</v>
      </c>
      <c r="K555" s="1" t="s">
        <v>20</v>
      </c>
      <c r="M555" s="6"/>
      <c r="N555" s="7"/>
      <c r="O555" s="7" t="e">
        <f t="shared" si="9"/>
        <v>#DIV/0!</v>
      </c>
    </row>
    <row r="556" spans="1:15" x14ac:dyDescent="0.4">
      <c r="A556" s="1">
        <v>555</v>
      </c>
      <c r="D556" s="2"/>
      <c r="J556" s="2" t="s">
        <v>19</v>
      </c>
      <c r="K556" s="1" t="s">
        <v>20</v>
      </c>
      <c r="M556" s="6"/>
      <c r="N556" s="7"/>
      <c r="O556" s="7" t="e">
        <f t="shared" si="9"/>
        <v>#DIV/0!</v>
      </c>
    </row>
    <row r="557" spans="1:15" x14ac:dyDescent="0.4">
      <c r="A557" s="1">
        <v>556</v>
      </c>
      <c r="D557" s="2"/>
      <c r="J557" s="2" t="s">
        <v>19</v>
      </c>
      <c r="K557" s="1" t="s">
        <v>20</v>
      </c>
      <c r="M557" s="6"/>
      <c r="N557" s="7"/>
      <c r="O557" s="7" t="e">
        <f t="shared" si="9"/>
        <v>#DIV/0!</v>
      </c>
    </row>
    <row r="558" spans="1:15" x14ac:dyDescent="0.4">
      <c r="A558" s="1">
        <v>557</v>
      </c>
      <c r="D558" s="2"/>
      <c r="J558" s="2" t="s">
        <v>19</v>
      </c>
      <c r="K558" s="1" t="s">
        <v>20</v>
      </c>
      <c r="M558" s="6"/>
      <c r="N558" s="7"/>
      <c r="O558" s="7" t="e">
        <f t="shared" si="9"/>
        <v>#DIV/0!</v>
      </c>
    </row>
    <row r="559" spans="1:15" x14ac:dyDescent="0.4">
      <c r="A559" s="1">
        <v>558</v>
      </c>
      <c r="D559" s="2"/>
      <c r="J559" s="2" t="s">
        <v>19</v>
      </c>
      <c r="K559" s="1" t="s">
        <v>20</v>
      </c>
      <c r="M559" s="6"/>
      <c r="N559" s="7"/>
      <c r="O559" s="7" t="e">
        <f t="shared" si="9"/>
        <v>#DIV/0!</v>
      </c>
    </row>
    <row r="560" spans="1:15" x14ac:dyDescent="0.4">
      <c r="A560" s="1">
        <v>559</v>
      </c>
      <c r="D560" s="2"/>
      <c r="J560" s="2" t="s">
        <v>19</v>
      </c>
      <c r="K560" s="1" t="s">
        <v>20</v>
      </c>
      <c r="M560" s="6"/>
      <c r="N560" s="7"/>
      <c r="O560" s="7" t="e">
        <f t="shared" si="9"/>
        <v>#DIV/0!</v>
      </c>
    </row>
    <row r="561" spans="1:15" x14ac:dyDescent="0.4">
      <c r="A561" s="1">
        <v>560</v>
      </c>
      <c r="D561" s="2"/>
      <c r="J561" s="2" t="s">
        <v>19</v>
      </c>
      <c r="K561" s="1" t="s">
        <v>20</v>
      </c>
      <c r="M561" s="6"/>
      <c r="N561" s="7"/>
      <c r="O561" s="7" t="e">
        <f t="shared" si="9"/>
        <v>#DIV/0!</v>
      </c>
    </row>
    <row r="562" spans="1:15" x14ac:dyDescent="0.4">
      <c r="A562" s="1">
        <v>561</v>
      </c>
      <c r="D562" s="2"/>
      <c r="J562" s="2" t="s">
        <v>19</v>
      </c>
      <c r="K562" s="1" t="s">
        <v>20</v>
      </c>
      <c r="M562" s="6"/>
      <c r="N562" s="7"/>
      <c r="O562" s="7" t="e">
        <f t="shared" si="9"/>
        <v>#DIV/0!</v>
      </c>
    </row>
    <row r="563" spans="1:15" x14ac:dyDescent="0.4">
      <c r="A563" s="1">
        <v>562</v>
      </c>
      <c r="D563" s="2"/>
      <c r="J563" s="2" t="s">
        <v>19</v>
      </c>
      <c r="K563" s="1" t="s">
        <v>20</v>
      </c>
      <c r="M563" s="6"/>
      <c r="N563" s="7"/>
      <c r="O563" s="7" t="e">
        <f t="shared" si="9"/>
        <v>#DIV/0!</v>
      </c>
    </row>
    <row r="564" spans="1:15" x14ac:dyDescent="0.4">
      <c r="A564" s="1">
        <v>563</v>
      </c>
      <c r="D564" s="2"/>
      <c r="J564" s="2" t="s">
        <v>19</v>
      </c>
      <c r="K564" s="1" t="s">
        <v>20</v>
      </c>
      <c r="M564" s="6"/>
      <c r="N564" s="7"/>
      <c r="O564" s="7" t="e">
        <f t="shared" si="9"/>
        <v>#DIV/0!</v>
      </c>
    </row>
    <row r="565" spans="1:15" x14ac:dyDescent="0.4">
      <c r="A565" s="1">
        <v>564</v>
      </c>
      <c r="D565" s="2"/>
      <c r="J565" s="2" t="s">
        <v>19</v>
      </c>
      <c r="K565" s="1" t="s">
        <v>20</v>
      </c>
      <c r="M565" s="6"/>
      <c r="N565" s="7"/>
      <c r="O565" s="7" t="e">
        <f t="shared" si="9"/>
        <v>#DIV/0!</v>
      </c>
    </row>
    <row r="566" spans="1:15" x14ac:dyDescent="0.4">
      <c r="A566" s="1">
        <v>565</v>
      </c>
      <c r="D566" s="2"/>
      <c r="J566" s="2" t="s">
        <v>19</v>
      </c>
      <c r="K566" s="1" t="s">
        <v>20</v>
      </c>
      <c r="M566" s="6"/>
      <c r="N566" s="7"/>
      <c r="O566" s="7" t="e">
        <f t="shared" si="9"/>
        <v>#DIV/0!</v>
      </c>
    </row>
    <row r="567" spans="1:15" x14ac:dyDescent="0.4">
      <c r="A567" s="1">
        <v>566</v>
      </c>
      <c r="D567" s="2"/>
      <c r="J567" s="2" t="s">
        <v>19</v>
      </c>
      <c r="K567" s="1" t="s">
        <v>20</v>
      </c>
      <c r="M567" s="6"/>
      <c r="N567" s="7"/>
      <c r="O567" s="7" t="e">
        <f t="shared" si="9"/>
        <v>#DIV/0!</v>
      </c>
    </row>
    <row r="568" spans="1:15" x14ac:dyDescent="0.4">
      <c r="A568" s="1">
        <v>567</v>
      </c>
      <c r="D568" s="2"/>
      <c r="J568" s="2" t="s">
        <v>19</v>
      </c>
      <c r="K568" s="1" t="s">
        <v>20</v>
      </c>
      <c r="M568" s="6"/>
      <c r="N568" s="7"/>
      <c r="O568" s="7" t="e">
        <f t="shared" si="9"/>
        <v>#DIV/0!</v>
      </c>
    </row>
    <row r="569" spans="1:15" x14ac:dyDescent="0.4">
      <c r="A569" s="1">
        <v>568</v>
      </c>
      <c r="D569" s="2"/>
      <c r="J569" s="2" t="s">
        <v>19</v>
      </c>
      <c r="K569" s="1" t="s">
        <v>20</v>
      </c>
      <c r="M569" s="6"/>
      <c r="N569" s="7"/>
      <c r="O569" s="7" t="e">
        <f t="shared" si="9"/>
        <v>#DIV/0!</v>
      </c>
    </row>
    <row r="570" spans="1:15" x14ac:dyDescent="0.4">
      <c r="A570" s="1">
        <v>569</v>
      </c>
      <c r="D570" s="2"/>
      <c r="J570" s="2" t="s">
        <v>19</v>
      </c>
      <c r="K570" s="1" t="s">
        <v>20</v>
      </c>
      <c r="M570" s="6"/>
      <c r="N570" s="7"/>
      <c r="O570" s="7" t="e">
        <f t="shared" si="9"/>
        <v>#DIV/0!</v>
      </c>
    </row>
    <row r="571" spans="1:15" x14ac:dyDescent="0.4">
      <c r="A571" s="1">
        <v>570</v>
      </c>
      <c r="D571" s="2"/>
      <c r="J571" s="2" t="s">
        <v>19</v>
      </c>
      <c r="K571" s="1" t="s">
        <v>20</v>
      </c>
      <c r="M571" s="6"/>
      <c r="N571" s="7"/>
      <c r="O571" s="7" t="e">
        <f t="shared" si="9"/>
        <v>#DIV/0!</v>
      </c>
    </row>
    <row r="572" spans="1:15" x14ac:dyDescent="0.4">
      <c r="A572" s="1">
        <v>571</v>
      </c>
      <c r="D572" s="2"/>
      <c r="J572" s="2" t="s">
        <v>19</v>
      </c>
      <c r="K572" s="1" t="s">
        <v>20</v>
      </c>
      <c r="M572" s="6"/>
      <c r="N572" s="7"/>
      <c r="O572" s="7" t="e">
        <f t="shared" si="9"/>
        <v>#DIV/0!</v>
      </c>
    </row>
    <row r="573" spans="1:15" x14ac:dyDescent="0.4">
      <c r="A573" s="1">
        <v>572</v>
      </c>
      <c r="D573" s="2"/>
      <c r="J573" s="2" t="s">
        <v>19</v>
      </c>
      <c r="K573" s="1" t="s">
        <v>20</v>
      </c>
      <c r="M573" s="6"/>
      <c r="N573" s="7"/>
      <c r="O573" s="7" t="e">
        <f t="shared" si="9"/>
        <v>#DIV/0!</v>
      </c>
    </row>
    <row r="574" spans="1:15" x14ac:dyDescent="0.4">
      <c r="A574" s="1">
        <v>573</v>
      </c>
      <c r="D574" s="2"/>
      <c r="J574" s="2" t="s">
        <v>19</v>
      </c>
      <c r="K574" s="1" t="s">
        <v>20</v>
      </c>
      <c r="M574" s="6"/>
      <c r="N574" s="7"/>
      <c r="O574" s="7" t="e">
        <f t="shared" si="9"/>
        <v>#DIV/0!</v>
      </c>
    </row>
    <row r="575" spans="1:15" x14ac:dyDescent="0.4">
      <c r="A575" s="1">
        <v>574</v>
      </c>
      <c r="D575" s="2"/>
      <c r="J575" s="2" t="s">
        <v>19</v>
      </c>
      <c r="K575" s="1" t="s">
        <v>20</v>
      </c>
      <c r="M575" s="6"/>
      <c r="N575" s="7"/>
      <c r="O575" s="7" t="e">
        <f t="shared" si="9"/>
        <v>#DIV/0!</v>
      </c>
    </row>
    <row r="576" spans="1:15" x14ac:dyDescent="0.4">
      <c r="A576" s="1">
        <v>575</v>
      </c>
      <c r="D576" s="2"/>
      <c r="J576" s="2" t="s">
        <v>19</v>
      </c>
      <c r="K576" s="1" t="s">
        <v>20</v>
      </c>
      <c r="M576" s="6"/>
      <c r="N576" s="7"/>
      <c r="O576" s="7" t="e">
        <f t="shared" si="9"/>
        <v>#DIV/0!</v>
      </c>
    </row>
    <row r="577" spans="1:15" x14ac:dyDescent="0.4">
      <c r="A577" s="1">
        <v>576</v>
      </c>
      <c r="D577" s="2"/>
      <c r="J577" s="2" t="s">
        <v>19</v>
      </c>
      <c r="K577" s="1" t="s">
        <v>20</v>
      </c>
      <c r="M577" s="6"/>
      <c r="N577" s="7"/>
      <c r="O577" s="7" t="e">
        <f t="shared" si="9"/>
        <v>#DIV/0!</v>
      </c>
    </row>
    <row r="578" spans="1:15" x14ac:dyDescent="0.4">
      <c r="A578" s="1">
        <v>577</v>
      </c>
      <c r="D578" s="2"/>
      <c r="J578" s="2" t="s">
        <v>19</v>
      </c>
      <c r="K578" s="1" t="s">
        <v>20</v>
      </c>
      <c r="M578" s="6"/>
      <c r="N578" s="7"/>
      <c r="O578" s="7" t="e">
        <f t="shared" ref="O578:O641" si="10">N578/M578</f>
        <v>#DIV/0!</v>
      </c>
    </row>
    <row r="579" spans="1:15" x14ac:dyDescent="0.4">
      <c r="A579" s="1">
        <v>578</v>
      </c>
      <c r="D579" s="2"/>
      <c r="J579" s="2" t="s">
        <v>19</v>
      </c>
      <c r="K579" s="1" t="s">
        <v>20</v>
      </c>
      <c r="M579" s="6"/>
      <c r="N579" s="7"/>
      <c r="O579" s="7" t="e">
        <f t="shared" si="10"/>
        <v>#DIV/0!</v>
      </c>
    </row>
    <row r="580" spans="1:15" x14ac:dyDescent="0.4">
      <c r="A580" s="1">
        <v>579</v>
      </c>
      <c r="D580" s="2"/>
      <c r="J580" s="2" t="s">
        <v>19</v>
      </c>
      <c r="K580" s="1" t="s">
        <v>20</v>
      </c>
      <c r="M580" s="6"/>
      <c r="N580" s="7"/>
      <c r="O580" s="7" t="e">
        <f t="shared" si="10"/>
        <v>#DIV/0!</v>
      </c>
    </row>
    <row r="581" spans="1:15" x14ac:dyDescent="0.4">
      <c r="A581" s="1">
        <v>580</v>
      </c>
      <c r="D581" s="2"/>
      <c r="J581" s="2" t="s">
        <v>19</v>
      </c>
      <c r="K581" s="1" t="s">
        <v>20</v>
      </c>
      <c r="M581" s="6"/>
      <c r="N581" s="7"/>
      <c r="O581" s="7" t="e">
        <f t="shared" si="10"/>
        <v>#DIV/0!</v>
      </c>
    </row>
    <row r="582" spans="1:15" x14ac:dyDescent="0.4">
      <c r="A582" s="1">
        <v>581</v>
      </c>
      <c r="D582" s="2"/>
      <c r="J582" s="2" t="s">
        <v>19</v>
      </c>
      <c r="K582" s="1" t="s">
        <v>20</v>
      </c>
      <c r="M582" s="6"/>
      <c r="N582" s="7"/>
      <c r="O582" s="7" t="e">
        <f t="shared" si="10"/>
        <v>#DIV/0!</v>
      </c>
    </row>
    <row r="583" spans="1:15" x14ac:dyDescent="0.4">
      <c r="A583" s="1">
        <v>582</v>
      </c>
      <c r="D583" s="2"/>
      <c r="J583" s="2" t="s">
        <v>19</v>
      </c>
      <c r="K583" s="1" t="s">
        <v>20</v>
      </c>
      <c r="M583" s="6"/>
      <c r="N583" s="7"/>
      <c r="O583" s="7" t="e">
        <f t="shared" si="10"/>
        <v>#DIV/0!</v>
      </c>
    </row>
    <row r="584" spans="1:15" x14ac:dyDescent="0.4">
      <c r="A584" s="1">
        <v>583</v>
      </c>
      <c r="D584" s="2"/>
      <c r="J584" s="2" t="s">
        <v>19</v>
      </c>
      <c r="K584" s="1" t="s">
        <v>20</v>
      </c>
      <c r="M584" s="6"/>
      <c r="N584" s="7"/>
      <c r="O584" s="7" t="e">
        <f t="shared" si="10"/>
        <v>#DIV/0!</v>
      </c>
    </row>
    <row r="585" spans="1:15" x14ac:dyDescent="0.4">
      <c r="A585" s="1">
        <v>584</v>
      </c>
      <c r="D585" s="2"/>
      <c r="J585" s="2" t="s">
        <v>19</v>
      </c>
      <c r="K585" s="1" t="s">
        <v>20</v>
      </c>
      <c r="M585" s="6"/>
      <c r="N585" s="7"/>
      <c r="O585" s="7" t="e">
        <f t="shared" si="10"/>
        <v>#DIV/0!</v>
      </c>
    </row>
    <row r="586" spans="1:15" x14ac:dyDescent="0.4">
      <c r="A586" s="1">
        <v>585</v>
      </c>
      <c r="D586" s="2"/>
      <c r="J586" s="2" t="s">
        <v>19</v>
      </c>
      <c r="K586" s="1" t="s">
        <v>20</v>
      </c>
      <c r="M586" s="6"/>
      <c r="N586" s="7"/>
      <c r="O586" s="7" t="e">
        <f t="shared" si="10"/>
        <v>#DIV/0!</v>
      </c>
    </row>
    <row r="587" spans="1:15" x14ac:dyDescent="0.4">
      <c r="A587" s="1">
        <v>586</v>
      </c>
      <c r="D587" s="2"/>
      <c r="J587" s="2" t="s">
        <v>19</v>
      </c>
      <c r="K587" s="1" t="s">
        <v>20</v>
      </c>
      <c r="M587" s="6"/>
      <c r="N587" s="7"/>
      <c r="O587" s="7" t="e">
        <f t="shared" si="10"/>
        <v>#DIV/0!</v>
      </c>
    </row>
    <row r="588" spans="1:15" x14ac:dyDescent="0.4">
      <c r="A588" s="1">
        <v>587</v>
      </c>
      <c r="D588" s="2"/>
      <c r="J588" s="2" t="s">
        <v>19</v>
      </c>
      <c r="K588" s="1" t="s">
        <v>20</v>
      </c>
      <c r="M588" s="6"/>
      <c r="N588" s="7"/>
      <c r="O588" s="7" t="e">
        <f t="shared" si="10"/>
        <v>#DIV/0!</v>
      </c>
    </row>
    <row r="589" spans="1:15" x14ac:dyDescent="0.4">
      <c r="A589" s="1">
        <v>588</v>
      </c>
      <c r="D589" s="2"/>
      <c r="J589" s="2" t="s">
        <v>19</v>
      </c>
      <c r="K589" s="1" t="s">
        <v>20</v>
      </c>
      <c r="M589" s="6"/>
      <c r="N589" s="7"/>
      <c r="O589" s="7" t="e">
        <f t="shared" si="10"/>
        <v>#DIV/0!</v>
      </c>
    </row>
    <row r="590" spans="1:15" x14ac:dyDescent="0.4">
      <c r="A590" s="1">
        <v>589</v>
      </c>
      <c r="D590" s="2"/>
      <c r="J590" s="2" t="s">
        <v>19</v>
      </c>
      <c r="K590" s="1" t="s">
        <v>20</v>
      </c>
      <c r="M590" s="6"/>
      <c r="N590" s="7"/>
      <c r="O590" s="7" t="e">
        <f t="shared" si="10"/>
        <v>#DIV/0!</v>
      </c>
    </row>
    <row r="591" spans="1:15" x14ac:dyDescent="0.4">
      <c r="A591" s="1">
        <v>590</v>
      </c>
      <c r="D591" s="2"/>
      <c r="J591" s="2" t="s">
        <v>19</v>
      </c>
      <c r="K591" s="1" t="s">
        <v>20</v>
      </c>
      <c r="M591" s="6"/>
      <c r="N591" s="7"/>
      <c r="O591" s="7" t="e">
        <f t="shared" si="10"/>
        <v>#DIV/0!</v>
      </c>
    </row>
    <row r="592" spans="1:15" x14ac:dyDescent="0.4">
      <c r="A592" s="1">
        <v>591</v>
      </c>
      <c r="D592" s="2"/>
      <c r="J592" s="2" t="s">
        <v>19</v>
      </c>
      <c r="K592" s="1" t="s">
        <v>20</v>
      </c>
      <c r="M592" s="6"/>
      <c r="N592" s="7"/>
      <c r="O592" s="7" t="e">
        <f t="shared" si="10"/>
        <v>#DIV/0!</v>
      </c>
    </row>
    <row r="593" spans="1:15" x14ac:dyDescent="0.4">
      <c r="A593" s="1">
        <v>592</v>
      </c>
      <c r="D593" s="2"/>
      <c r="J593" s="2" t="s">
        <v>19</v>
      </c>
      <c r="K593" s="1" t="s">
        <v>20</v>
      </c>
      <c r="M593" s="6"/>
      <c r="N593" s="7"/>
      <c r="O593" s="7" t="e">
        <f t="shared" si="10"/>
        <v>#DIV/0!</v>
      </c>
    </row>
    <row r="594" spans="1:15" x14ac:dyDescent="0.4">
      <c r="A594" s="1">
        <v>593</v>
      </c>
      <c r="D594" s="2"/>
      <c r="J594" s="2" t="s">
        <v>19</v>
      </c>
      <c r="K594" s="1" t="s">
        <v>20</v>
      </c>
      <c r="M594" s="6"/>
      <c r="N594" s="7"/>
      <c r="O594" s="7" t="e">
        <f t="shared" si="10"/>
        <v>#DIV/0!</v>
      </c>
    </row>
    <row r="595" spans="1:15" x14ac:dyDescent="0.4">
      <c r="A595" s="1">
        <v>594</v>
      </c>
      <c r="D595" s="2"/>
      <c r="J595" s="2" t="s">
        <v>19</v>
      </c>
      <c r="K595" s="1" t="s">
        <v>20</v>
      </c>
      <c r="M595" s="6"/>
      <c r="N595" s="7"/>
      <c r="O595" s="7" t="e">
        <f t="shared" si="10"/>
        <v>#DIV/0!</v>
      </c>
    </row>
    <row r="596" spans="1:15" x14ac:dyDescent="0.4">
      <c r="A596" s="1">
        <v>595</v>
      </c>
      <c r="D596" s="2"/>
      <c r="J596" s="2" t="s">
        <v>19</v>
      </c>
      <c r="K596" s="1" t="s">
        <v>20</v>
      </c>
      <c r="M596" s="6"/>
      <c r="N596" s="7"/>
      <c r="O596" s="7" t="e">
        <f t="shared" si="10"/>
        <v>#DIV/0!</v>
      </c>
    </row>
    <row r="597" spans="1:15" x14ac:dyDescent="0.4">
      <c r="A597" s="1">
        <v>596</v>
      </c>
      <c r="D597" s="2"/>
      <c r="J597" s="2" t="s">
        <v>19</v>
      </c>
      <c r="K597" s="1" t="s">
        <v>20</v>
      </c>
      <c r="M597" s="6"/>
      <c r="N597" s="7"/>
      <c r="O597" s="7" t="e">
        <f t="shared" si="10"/>
        <v>#DIV/0!</v>
      </c>
    </row>
    <row r="598" spans="1:15" x14ac:dyDescent="0.4">
      <c r="A598" s="1">
        <v>597</v>
      </c>
      <c r="D598" s="2"/>
      <c r="J598" s="2" t="s">
        <v>19</v>
      </c>
      <c r="K598" s="1" t="s">
        <v>20</v>
      </c>
      <c r="M598" s="6"/>
      <c r="N598" s="7"/>
      <c r="O598" s="7" t="e">
        <f t="shared" si="10"/>
        <v>#DIV/0!</v>
      </c>
    </row>
    <row r="599" spans="1:15" x14ac:dyDescent="0.4">
      <c r="A599" s="1">
        <v>598</v>
      </c>
      <c r="D599" s="2"/>
      <c r="J599" s="2" t="s">
        <v>19</v>
      </c>
      <c r="K599" s="1" t="s">
        <v>20</v>
      </c>
      <c r="M599" s="6"/>
      <c r="N599" s="7"/>
      <c r="O599" s="7" t="e">
        <f t="shared" si="10"/>
        <v>#DIV/0!</v>
      </c>
    </row>
    <row r="600" spans="1:15" x14ac:dyDescent="0.4">
      <c r="A600" s="1">
        <v>599</v>
      </c>
      <c r="D600" s="2"/>
      <c r="J600" s="2" t="s">
        <v>19</v>
      </c>
      <c r="K600" s="1" t="s">
        <v>20</v>
      </c>
      <c r="M600" s="6"/>
      <c r="N600" s="7"/>
      <c r="O600" s="7" t="e">
        <f t="shared" si="10"/>
        <v>#DIV/0!</v>
      </c>
    </row>
    <row r="601" spans="1:15" x14ac:dyDescent="0.4">
      <c r="A601" s="1">
        <v>600</v>
      </c>
      <c r="D601" s="2"/>
      <c r="J601" s="2" t="s">
        <v>19</v>
      </c>
      <c r="K601" s="1" t="s">
        <v>20</v>
      </c>
      <c r="M601" s="6"/>
      <c r="N601" s="7"/>
      <c r="O601" s="7" t="e">
        <f t="shared" si="10"/>
        <v>#DIV/0!</v>
      </c>
    </row>
    <row r="602" spans="1:15" x14ac:dyDescent="0.4">
      <c r="A602" s="1">
        <v>601</v>
      </c>
      <c r="D602" s="2"/>
      <c r="J602" s="2" t="s">
        <v>19</v>
      </c>
      <c r="K602" s="1" t="s">
        <v>20</v>
      </c>
      <c r="M602" s="6"/>
      <c r="N602" s="7"/>
      <c r="O602" s="7" t="e">
        <f t="shared" si="10"/>
        <v>#DIV/0!</v>
      </c>
    </row>
    <row r="603" spans="1:15" x14ac:dyDescent="0.4">
      <c r="A603" s="1">
        <v>602</v>
      </c>
      <c r="D603" s="2"/>
      <c r="J603" s="2" t="s">
        <v>19</v>
      </c>
      <c r="K603" s="1" t="s">
        <v>20</v>
      </c>
      <c r="M603" s="6"/>
      <c r="N603" s="7"/>
      <c r="O603" s="7" t="e">
        <f t="shared" si="10"/>
        <v>#DIV/0!</v>
      </c>
    </row>
    <row r="604" spans="1:15" x14ac:dyDescent="0.4">
      <c r="A604" s="1">
        <v>603</v>
      </c>
      <c r="D604" s="2"/>
      <c r="J604" s="2" t="s">
        <v>19</v>
      </c>
      <c r="K604" s="1" t="s">
        <v>20</v>
      </c>
      <c r="M604" s="6"/>
      <c r="N604" s="7"/>
      <c r="O604" s="7" t="e">
        <f t="shared" si="10"/>
        <v>#DIV/0!</v>
      </c>
    </row>
    <row r="605" spans="1:15" x14ac:dyDescent="0.4">
      <c r="A605" s="1">
        <v>604</v>
      </c>
      <c r="D605" s="2"/>
      <c r="J605" s="2" t="s">
        <v>19</v>
      </c>
      <c r="K605" s="1" t="s">
        <v>20</v>
      </c>
      <c r="M605" s="6"/>
      <c r="N605" s="7"/>
      <c r="O605" s="7" t="e">
        <f t="shared" si="10"/>
        <v>#DIV/0!</v>
      </c>
    </row>
    <row r="606" spans="1:15" x14ac:dyDescent="0.4">
      <c r="A606" s="1">
        <v>605</v>
      </c>
      <c r="D606" s="2"/>
      <c r="J606" s="2" t="s">
        <v>19</v>
      </c>
      <c r="K606" s="1" t="s">
        <v>20</v>
      </c>
      <c r="M606" s="6"/>
      <c r="N606" s="7"/>
      <c r="O606" s="7" t="e">
        <f t="shared" si="10"/>
        <v>#DIV/0!</v>
      </c>
    </row>
    <row r="607" spans="1:15" x14ac:dyDescent="0.4">
      <c r="A607" s="1">
        <v>606</v>
      </c>
      <c r="D607" s="2"/>
      <c r="J607" s="2" t="s">
        <v>19</v>
      </c>
      <c r="K607" s="1" t="s">
        <v>20</v>
      </c>
      <c r="M607" s="6"/>
      <c r="N607" s="7"/>
      <c r="O607" s="7" t="e">
        <f t="shared" si="10"/>
        <v>#DIV/0!</v>
      </c>
    </row>
    <row r="608" spans="1:15" x14ac:dyDescent="0.4">
      <c r="A608" s="1">
        <v>607</v>
      </c>
      <c r="D608" s="2"/>
      <c r="J608" s="2" t="s">
        <v>19</v>
      </c>
      <c r="K608" s="1" t="s">
        <v>20</v>
      </c>
      <c r="M608" s="6"/>
      <c r="N608" s="7"/>
      <c r="O608" s="7" t="e">
        <f t="shared" si="10"/>
        <v>#DIV/0!</v>
      </c>
    </row>
    <row r="609" spans="1:15" x14ac:dyDescent="0.4">
      <c r="A609" s="1">
        <v>608</v>
      </c>
      <c r="D609" s="2"/>
      <c r="J609" s="2" t="s">
        <v>19</v>
      </c>
      <c r="K609" s="1" t="s">
        <v>20</v>
      </c>
      <c r="M609" s="6"/>
      <c r="N609" s="7"/>
      <c r="O609" s="7" t="e">
        <f t="shared" si="10"/>
        <v>#DIV/0!</v>
      </c>
    </row>
    <row r="610" spans="1:15" x14ac:dyDescent="0.4">
      <c r="A610" s="1">
        <v>609</v>
      </c>
      <c r="D610" s="2"/>
      <c r="J610" s="2" t="s">
        <v>19</v>
      </c>
      <c r="K610" s="1" t="s">
        <v>20</v>
      </c>
      <c r="M610" s="6"/>
      <c r="N610" s="7"/>
      <c r="O610" s="7" t="e">
        <f t="shared" si="10"/>
        <v>#DIV/0!</v>
      </c>
    </row>
    <row r="611" spans="1:15" x14ac:dyDescent="0.4">
      <c r="A611" s="1">
        <v>610</v>
      </c>
      <c r="D611" s="2"/>
      <c r="J611" s="2" t="s">
        <v>19</v>
      </c>
      <c r="K611" s="1" t="s">
        <v>20</v>
      </c>
      <c r="M611" s="6"/>
      <c r="N611" s="7"/>
      <c r="O611" s="7" t="e">
        <f t="shared" si="10"/>
        <v>#DIV/0!</v>
      </c>
    </row>
    <row r="612" spans="1:15" x14ac:dyDescent="0.4">
      <c r="A612" s="1">
        <v>611</v>
      </c>
      <c r="D612" s="2"/>
      <c r="J612" s="2" t="s">
        <v>19</v>
      </c>
      <c r="K612" s="1" t="s">
        <v>20</v>
      </c>
      <c r="M612" s="6"/>
      <c r="N612" s="7"/>
      <c r="O612" s="7" t="e">
        <f t="shared" si="10"/>
        <v>#DIV/0!</v>
      </c>
    </row>
    <row r="613" spans="1:15" x14ac:dyDescent="0.4">
      <c r="A613" s="1">
        <v>612</v>
      </c>
      <c r="D613" s="2"/>
      <c r="J613" s="2" t="s">
        <v>19</v>
      </c>
      <c r="K613" s="1" t="s">
        <v>20</v>
      </c>
      <c r="M613" s="6"/>
      <c r="N613" s="7"/>
      <c r="O613" s="7" t="e">
        <f t="shared" si="10"/>
        <v>#DIV/0!</v>
      </c>
    </row>
    <row r="614" spans="1:15" x14ac:dyDescent="0.4">
      <c r="A614" s="1">
        <v>613</v>
      </c>
      <c r="D614" s="2"/>
      <c r="J614" s="2" t="s">
        <v>19</v>
      </c>
      <c r="K614" s="1" t="s">
        <v>20</v>
      </c>
      <c r="M614" s="6"/>
      <c r="N614" s="7"/>
      <c r="O614" s="7" t="e">
        <f t="shared" si="10"/>
        <v>#DIV/0!</v>
      </c>
    </row>
    <row r="615" spans="1:15" x14ac:dyDescent="0.4">
      <c r="A615" s="1">
        <v>614</v>
      </c>
      <c r="D615" s="2"/>
      <c r="J615" s="2" t="s">
        <v>19</v>
      </c>
      <c r="K615" s="1" t="s">
        <v>20</v>
      </c>
      <c r="M615" s="6"/>
      <c r="N615" s="7"/>
      <c r="O615" s="7" t="e">
        <f t="shared" si="10"/>
        <v>#DIV/0!</v>
      </c>
    </row>
    <row r="616" spans="1:15" x14ac:dyDescent="0.4">
      <c r="A616" s="1">
        <v>615</v>
      </c>
      <c r="D616" s="2"/>
      <c r="J616" s="2" t="s">
        <v>19</v>
      </c>
      <c r="K616" s="1" t="s">
        <v>20</v>
      </c>
      <c r="M616" s="6"/>
      <c r="N616" s="7"/>
      <c r="O616" s="7" t="e">
        <f t="shared" si="10"/>
        <v>#DIV/0!</v>
      </c>
    </row>
    <row r="617" spans="1:15" x14ac:dyDescent="0.4">
      <c r="A617" s="1">
        <v>616</v>
      </c>
      <c r="D617" s="2"/>
      <c r="J617" s="2" t="s">
        <v>19</v>
      </c>
      <c r="K617" s="1" t="s">
        <v>20</v>
      </c>
      <c r="M617" s="6"/>
      <c r="N617" s="7"/>
      <c r="O617" s="7" t="e">
        <f t="shared" si="10"/>
        <v>#DIV/0!</v>
      </c>
    </row>
    <row r="618" spans="1:15" x14ac:dyDescent="0.4">
      <c r="A618" s="1">
        <v>617</v>
      </c>
      <c r="D618" s="2"/>
      <c r="J618" s="2" t="s">
        <v>19</v>
      </c>
      <c r="K618" s="1" t="s">
        <v>20</v>
      </c>
      <c r="M618" s="6"/>
      <c r="N618" s="7"/>
      <c r="O618" s="7" t="e">
        <f t="shared" si="10"/>
        <v>#DIV/0!</v>
      </c>
    </row>
    <row r="619" spans="1:15" x14ac:dyDescent="0.4">
      <c r="A619" s="1">
        <v>618</v>
      </c>
      <c r="D619" s="2"/>
      <c r="J619" s="2" t="s">
        <v>19</v>
      </c>
      <c r="K619" s="1" t="s">
        <v>20</v>
      </c>
      <c r="M619" s="6"/>
      <c r="N619" s="7"/>
      <c r="O619" s="7" t="e">
        <f t="shared" si="10"/>
        <v>#DIV/0!</v>
      </c>
    </row>
    <row r="620" spans="1:15" x14ac:dyDescent="0.4">
      <c r="A620" s="1">
        <v>619</v>
      </c>
      <c r="D620" s="2"/>
      <c r="J620" s="2" t="s">
        <v>19</v>
      </c>
      <c r="K620" s="1" t="s">
        <v>20</v>
      </c>
      <c r="M620" s="6"/>
      <c r="N620" s="7"/>
      <c r="O620" s="7" t="e">
        <f t="shared" si="10"/>
        <v>#DIV/0!</v>
      </c>
    </row>
    <row r="621" spans="1:15" x14ac:dyDescent="0.4">
      <c r="A621" s="1">
        <v>620</v>
      </c>
      <c r="D621" s="2"/>
      <c r="J621" s="2" t="s">
        <v>19</v>
      </c>
      <c r="K621" s="1" t="s">
        <v>20</v>
      </c>
      <c r="M621" s="6"/>
      <c r="N621" s="7"/>
      <c r="O621" s="7" t="e">
        <f t="shared" si="10"/>
        <v>#DIV/0!</v>
      </c>
    </row>
    <row r="622" spans="1:15" x14ac:dyDescent="0.4">
      <c r="A622" s="1">
        <v>621</v>
      </c>
      <c r="D622" s="2"/>
      <c r="J622" s="2" t="s">
        <v>19</v>
      </c>
      <c r="K622" s="1" t="s">
        <v>20</v>
      </c>
      <c r="M622" s="6"/>
      <c r="N622" s="7"/>
      <c r="O622" s="7" t="e">
        <f t="shared" si="10"/>
        <v>#DIV/0!</v>
      </c>
    </row>
    <row r="623" spans="1:15" x14ac:dyDescent="0.4">
      <c r="A623" s="1">
        <v>622</v>
      </c>
      <c r="D623" s="2"/>
      <c r="J623" s="2" t="s">
        <v>19</v>
      </c>
      <c r="K623" s="1" t="s">
        <v>20</v>
      </c>
      <c r="M623" s="6"/>
      <c r="N623" s="7"/>
      <c r="O623" s="7" t="e">
        <f t="shared" si="10"/>
        <v>#DIV/0!</v>
      </c>
    </row>
    <row r="624" spans="1:15" x14ac:dyDescent="0.4">
      <c r="A624" s="1">
        <v>623</v>
      </c>
      <c r="D624" s="2"/>
      <c r="J624" s="2" t="s">
        <v>19</v>
      </c>
      <c r="K624" s="1" t="s">
        <v>20</v>
      </c>
      <c r="M624" s="6"/>
      <c r="N624" s="7"/>
      <c r="O624" s="7" t="e">
        <f t="shared" si="10"/>
        <v>#DIV/0!</v>
      </c>
    </row>
    <row r="625" spans="1:15" x14ac:dyDescent="0.4">
      <c r="A625" s="1">
        <v>624</v>
      </c>
      <c r="D625" s="2"/>
      <c r="J625" s="2" t="s">
        <v>19</v>
      </c>
      <c r="K625" s="1" t="s">
        <v>20</v>
      </c>
      <c r="M625" s="6"/>
      <c r="N625" s="7"/>
      <c r="O625" s="7" t="e">
        <f t="shared" si="10"/>
        <v>#DIV/0!</v>
      </c>
    </row>
    <row r="626" spans="1:15" x14ac:dyDescent="0.4">
      <c r="A626" s="1">
        <v>625</v>
      </c>
      <c r="D626" s="2"/>
      <c r="J626" s="2" t="s">
        <v>19</v>
      </c>
      <c r="K626" s="1" t="s">
        <v>20</v>
      </c>
      <c r="M626" s="6"/>
      <c r="N626" s="7"/>
      <c r="O626" s="7" t="e">
        <f t="shared" si="10"/>
        <v>#DIV/0!</v>
      </c>
    </row>
    <row r="627" spans="1:15" x14ac:dyDescent="0.4">
      <c r="A627" s="1">
        <v>626</v>
      </c>
      <c r="D627" s="2"/>
      <c r="J627" s="2" t="s">
        <v>19</v>
      </c>
      <c r="K627" s="1" t="s">
        <v>20</v>
      </c>
      <c r="M627" s="6"/>
      <c r="N627" s="7"/>
      <c r="O627" s="7" t="e">
        <f t="shared" si="10"/>
        <v>#DIV/0!</v>
      </c>
    </row>
    <row r="628" spans="1:15" x14ac:dyDescent="0.4">
      <c r="A628" s="1">
        <v>627</v>
      </c>
      <c r="D628" s="2"/>
      <c r="J628" s="2" t="s">
        <v>19</v>
      </c>
      <c r="K628" s="1" t="s">
        <v>20</v>
      </c>
      <c r="M628" s="6"/>
      <c r="N628" s="7"/>
      <c r="O628" s="7" t="e">
        <f t="shared" si="10"/>
        <v>#DIV/0!</v>
      </c>
    </row>
    <row r="629" spans="1:15" x14ac:dyDescent="0.4">
      <c r="A629" s="1">
        <v>628</v>
      </c>
      <c r="D629" s="2"/>
      <c r="J629" s="2" t="s">
        <v>19</v>
      </c>
      <c r="K629" s="1" t="s">
        <v>20</v>
      </c>
      <c r="M629" s="6"/>
      <c r="N629" s="7"/>
      <c r="O629" s="7" t="e">
        <f t="shared" si="10"/>
        <v>#DIV/0!</v>
      </c>
    </row>
    <row r="630" spans="1:15" x14ac:dyDescent="0.4">
      <c r="A630" s="1">
        <v>629</v>
      </c>
      <c r="D630" s="2"/>
      <c r="J630" s="2" t="s">
        <v>19</v>
      </c>
      <c r="K630" s="1" t="s">
        <v>20</v>
      </c>
      <c r="M630" s="6"/>
      <c r="N630" s="7"/>
      <c r="O630" s="7" t="e">
        <f t="shared" si="10"/>
        <v>#DIV/0!</v>
      </c>
    </row>
    <row r="631" spans="1:15" x14ac:dyDescent="0.4">
      <c r="A631" s="1">
        <v>630</v>
      </c>
      <c r="D631" s="2"/>
      <c r="J631" s="2" t="s">
        <v>19</v>
      </c>
      <c r="K631" s="1" t="s">
        <v>20</v>
      </c>
      <c r="M631" s="6"/>
      <c r="N631" s="7"/>
      <c r="O631" s="7" t="e">
        <f t="shared" si="10"/>
        <v>#DIV/0!</v>
      </c>
    </row>
    <row r="632" spans="1:15" x14ac:dyDescent="0.4">
      <c r="A632" s="1">
        <v>631</v>
      </c>
      <c r="D632" s="2"/>
      <c r="J632" s="2" t="s">
        <v>19</v>
      </c>
      <c r="K632" s="1" t="s">
        <v>20</v>
      </c>
      <c r="M632" s="6"/>
      <c r="N632" s="7"/>
      <c r="O632" s="7" t="e">
        <f t="shared" si="10"/>
        <v>#DIV/0!</v>
      </c>
    </row>
    <row r="633" spans="1:15" x14ac:dyDescent="0.4">
      <c r="A633" s="1">
        <v>632</v>
      </c>
      <c r="D633" s="2"/>
      <c r="J633" s="2" t="s">
        <v>19</v>
      </c>
      <c r="K633" s="1" t="s">
        <v>20</v>
      </c>
      <c r="M633" s="6"/>
      <c r="N633" s="7"/>
      <c r="O633" s="7" t="e">
        <f t="shared" si="10"/>
        <v>#DIV/0!</v>
      </c>
    </row>
    <row r="634" spans="1:15" x14ac:dyDescent="0.4">
      <c r="A634" s="1">
        <v>633</v>
      </c>
      <c r="D634" s="2"/>
      <c r="J634" s="2" t="s">
        <v>19</v>
      </c>
      <c r="K634" s="1" t="s">
        <v>20</v>
      </c>
      <c r="M634" s="6"/>
      <c r="N634" s="7"/>
      <c r="O634" s="7" t="e">
        <f t="shared" si="10"/>
        <v>#DIV/0!</v>
      </c>
    </row>
    <row r="635" spans="1:15" x14ac:dyDescent="0.4">
      <c r="A635" s="1">
        <v>634</v>
      </c>
      <c r="D635" s="2"/>
      <c r="J635" s="2" t="s">
        <v>19</v>
      </c>
      <c r="K635" s="1" t="s">
        <v>20</v>
      </c>
      <c r="M635" s="6"/>
      <c r="N635" s="7"/>
      <c r="O635" s="7" t="e">
        <f t="shared" si="10"/>
        <v>#DIV/0!</v>
      </c>
    </row>
    <row r="636" spans="1:15" x14ac:dyDescent="0.4">
      <c r="A636" s="1">
        <v>635</v>
      </c>
      <c r="D636" s="2"/>
      <c r="J636" s="2" t="s">
        <v>19</v>
      </c>
      <c r="K636" s="1" t="s">
        <v>20</v>
      </c>
      <c r="M636" s="6"/>
      <c r="N636" s="7"/>
      <c r="O636" s="7" t="e">
        <f t="shared" si="10"/>
        <v>#DIV/0!</v>
      </c>
    </row>
    <row r="637" spans="1:15" x14ac:dyDescent="0.4">
      <c r="A637" s="1">
        <v>636</v>
      </c>
      <c r="D637" s="2"/>
      <c r="J637" s="2" t="s">
        <v>19</v>
      </c>
      <c r="K637" s="1" t="s">
        <v>20</v>
      </c>
      <c r="M637" s="6"/>
      <c r="N637" s="7"/>
      <c r="O637" s="7" t="e">
        <f t="shared" si="10"/>
        <v>#DIV/0!</v>
      </c>
    </row>
    <row r="638" spans="1:15" x14ac:dyDescent="0.4">
      <c r="A638" s="1">
        <v>637</v>
      </c>
      <c r="D638" s="2"/>
      <c r="J638" s="2" t="s">
        <v>19</v>
      </c>
      <c r="K638" s="1" t="s">
        <v>20</v>
      </c>
      <c r="M638" s="6"/>
      <c r="N638" s="7"/>
      <c r="O638" s="7" t="e">
        <f t="shared" si="10"/>
        <v>#DIV/0!</v>
      </c>
    </row>
    <row r="639" spans="1:15" x14ac:dyDescent="0.4">
      <c r="A639" s="1">
        <v>638</v>
      </c>
      <c r="D639" s="2"/>
      <c r="J639" s="2" t="s">
        <v>19</v>
      </c>
      <c r="K639" s="1" t="s">
        <v>20</v>
      </c>
      <c r="M639" s="6"/>
      <c r="N639" s="7"/>
      <c r="O639" s="7" t="e">
        <f t="shared" si="10"/>
        <v>#DIV/0!</v>
      </c>
    </row>
    <row r="640" spans="1:15" x14ac:dyDescent="0.4">
      <c r="A640" s="1">
        <v>639</v>
      </c>
      <c r="D640" s="2"/>
      <c r="J640" s="2" t="s">
        <v>19</v>
      </c>
      <c r="K640" s="1" t="s">
        <v>20</v>
      </c>
      <c r="M640" s="6"/>
      <c r="N640" s="7"/>
      <c r="O640" s="7" t="e">
        <f t="shared" si="10"/>
        <v>#DIV/0!</v>
      </c>
    </row>
    <row r="641" spans="1:15" x14ac:dyDescent="0.4">
      <c r="A641" s="1">
        <v>640</v>
      </c>
      <c r="D641" s="2"/>
      <c r="J641" s="2" t="s">
        <v>19</v>
      </c>
      <c r="K641" s="1" t="s">
        <v>20</v>
      </c>
      <c r="M641" s="6"/>
      <c r="N641" s="7"/>
      <c r="O641" s="7" t="e">
        <f t="shared" si="10"/>
        <v>#DIV/0!</v>
      </c>
    </row>
    <row r="642" spans="1:15" x14ac:dyDescent="0.4">
      <c r="A642" s="1">
        <v>641</v>
      </c>
      <c r="D642" s="2"/>
      <c r="J642" s="2" t="s">
        <v>19</v>
      </c>
      <c r="K642" s="1" t="s">
        <v>20</v>
      </c>
      <c r="M642" s="6"/>
      <c r="N642" s="7"/>
      <c r="O642" s="7" t="e">
        <f t="shared" ref="O642:O705" si="11">N642/M642</f>
        <v>#DIV/0!</v>
      </c>
    </row>
    <row r="643" spans="1:15" x14ac:dyDescent="0.4">
      <c r="A643" s="1">
        <v>642</v>
      </c>
      <c r="D643" s="2"/>
      <c r="J643" s="2" t="s">
        <v>19</v>
      </c>
      <c r="K643" s="1" t="s">
        <v>20</v>
      </c>
      <c r="M643" s="6"/>
      <c r="N643" s="7"/>
      <c r="O643" s="7" t="e">
        <f t="shared" si="11"/>
        <v>#DIV/0!</v>
      </c>
    </row>
    <row r="644" spans="1:15" x14ac:dyDescent="0.4">
      <c r="A644" s="1">
        <v>643</v>
      </c>
      <c r="D644" s="2"/>
      <c r="J644" s="2" t="s">
        <v>19</v>
      </c>
      <c r="K644" s="1" t="s">
        <v>20</v>
      </c>
      <c r="M644" s="6"/>
      <c r="N644" s="7"/>
      <c r="O644" s="7" t="e">
        <f t="shared" si="11"/>
        <v>#DIV/0!</v>
      </c>
    </row>
    <row r="645" spans="1:15" x14ac:dyDescent="0.4">
      <c r="A645" s="1">
        <v>644</v>
      </c>
      <c r="D645" s="2"/>
      <c r="J645" s="2" t="s">
        <v>19</v>
      </c>
      <c r="K645" s="1" t="s">
        <v>20</v>
      </c>
      <c r="M645" s="6"/>
      <c r="N645" s="7"/>
      <c r="O645" s="7" t="e">
        <f t="shared" si="11"/>
        <v>#DIV/0!</v>
      </c>
    </row>
    <row r="646" spans="1:15" x14ac:dyDescent="0.4">
      <c r="A646" s="1">
        <v>645</v>
      </c>
      <c r="D646" s="2"/>
      <c r="J646" s="2" t="s">
        <v>19</v>
      </c>
      <c r="K646" s="1" t="s">
        <v>20</v>
      </c>
      <c r="M646" s="6"/>
      <c r="N646" s="7"/>
      <c r="O646" s="7" t="e">
        <f t="shared" si="11"/>
        <v>#DIV/0!</v>
      </c>
    </row>
    <row r="647" spans="1:15" x14ac:dyDescent="0.4">
      <c r="A647" s="1">
        <v>646</v>
      </c>
      <c r="D647" s="2"/>
      <c r="J647" s="2" t="s">
        <v>19</v>
      </c>
      <c r="K647" s="1" t="s">
        <v>20</v>
      </c>
      <c r="M647" s="6"/>
      <c r="N647" s="7"/>
      <c r="O647" s="7" t="e">
        <f t="shared" si="11"/>
        <v>#DIV/0!</v>
      </c>
    </row>
    <row r="648" spans="1:15" x14ac:dyDescent="0.4">
      <c r="A648" s="1">
        <v>647</v>
      </c>
      <c r="D648" s="2"/>
      <c r="J648" s="2" t="s">
        <v>19</v>
      </c>
      <c r="K648" s="1" t="s">
        <v>20</v>
      </c>
      <c r="M648" s="6"/>
      <c r="N648" s="7"/>
      <c r="O648" s="7" t="e">
        <f t="shared" si="11"/>
        <v>#DIV/0!</v>
      </c>
    </row>
    <row r="649" spans="1:15" x14ac:dyDescent="0.4">
      <c r="A649" s="1">
        <v>648</v>
      </c>
      <c r="D649" s="2"/>
      <c r="J649" s="2" t="s">
        <v>19</v>
      </c>
      <c r="K649" s="1" t="s">
        <v>20</v>
      </c>
      <c r="M649" s="6"/>
      <c r="N649" s="7"/>
      <c r="O649" s="7" t="e">
        <f t="shared" si="11"/>
        <v>#DIV/0!</v>
      </c>
    </row>
    <row r="650" spans="1:15" x14ac:dyDescent="0.4">
      <c r="A650" s="1">
        <v>649</v>
      </c>
      <c r="D650" s="2"/>
      <c r="J650" s="2" t="s">
        <v>19</v>
      </c>
      <c r="K650" s="1" t="s">
        <v>20</v>
      </c>
      <c r="M650" s="6"/>
      <c r="N650" s="7"/>
      <c r="O650" s="7" t="e">
        <f t="shared" si="11"/>
        <v>#DIV/0!</v>
      </c>
    </row>
    <row r="651" spans="1:15" x14ac:dyDescent="0.4">
      <c r="A651" s="1">
        <v>650</v>
      </c>
      <c r="D651" s="2"/>
      <c r="J651" s="2" t="s">
        <v>19</v>
      </c>
      <c r="K651" s="1" t="s">
        <v>20</v>
      </c>
      <c r="M651" s="6"/>
      <c r="N651" s="7"/>
      <c r="O651" s="7" t="e">
        <f t="shared" si="11"/>
        <v>#DIV/0!</v>
      </c>
    </row>
    <row r="652" spans="1:15" x14ac:dyDescent="0.4">
      <c r="A652" s="1">
        <v>651</v>
      </c>
      <c r="D652" s="2"/>
      <c r="J652" s="2" t="s">
        <v>19</v>
      </c>
      <c r="K652" s="1" t="s">
        <v>20</v>
      </c>
      <c r="M652" s="6"/>
      <c r="N652" s="7"/>
      <c r="O652" s="7" t="e">
        <f t="shared" si="11"/>
        <v>#DIV/0!</v>
      </c>
    </row>
    <row r="653" spans="1:15" x14ac:dyDescent="0.4">
      <c r="A653" s="1">
        <v>652</v>
      </c>
      <c r="D653" s="2"/>
      <c r="J653" s="2" t="s">
        <v>19</v>
      </c>
      <c r="K653" s="1" t="s">
        <v>20</v>
      </c>
      <c r="M653" s="6"/>
      <c r="N653" s="7"/>
      <c r="O653" s="7" t="e">
        <f t="shared" si="11"/>
        <v>#DIV/0!</v>
      </c>
    </row>
    <row r="654" spans="1:15" x14ac:dyDescent="0.4">
      <c r="A654" s="1">
        <v>653</v>
      </c>
      <c r="D654" s="2"/>
      <c r="J654" s="2" t="s">
        <v>19</v>
      </c>
      <c r="K654" s="1" t="s">
        <v>20</v>
      </c>
      <c r="M654" s="6"/>
      <c r="N654" s="7"/>
      <c r="O654" s="7" t="e">
        <f t="shared" si="11"/>
        <v>#DIV/0!</v>
      </c>
    </row>
    <row r="655" spans="1:15" x14ac:dyDescent="0.4">
      <c r="A655" s="1">
        <v>654</v>
      </c>
      <c r="D655" s="2"/>
      <c r="J655" s="2" t="s">
        <v>19</v>
      </c>
      <c r="K655" s="1" t="s">
        <v>20</v>
      </c>
      <c r="M655" s="6"/>
      <c r="N655" s="7"/>
      <c r="O655" s="7" t="e">
        <f t="shared" si="11"/>
        <v>#DIV/0!</v>
      </c>
    </row>
    <row r="656" spans="1:15" x14ac:dyDescent="0.4">
      <c r="A656" s="1">
        <v>655</v>
      </c>
      <c r="D656" s="2"/>
      <c r="J656" s="2" t="s">
        <v>19</v>
      </c>
      <c r="K656" s="1" t="s">
        <v>20</v>
      </c>
      <c r="M656" s="6"/>
      <c r="N656" s="7"/>
      <c r="O656" s="7" t="e">
        <f t="shared" si="11"/>
        <v>#DIV/0!</v>
      </c>
    </row>
    <row r="657" spans="1:15" x14ac:dyDescent="0.4">
      <c r="A657" s="1">
        <v>656</v>
      </c>
      <c r="D657" s="2"/>
      <c r="J657" s="2" t="s">
        <v>19</v>
      </c>
      <c r="K657" s="1" t="s">
        <v>20</v>
      </c>
      <c r="M657" s="6"/>
      <c r="N657" s="7"/>
      <c r="O657" s="7" t="e">
        <f t="shared" si="11"/>
        <v>#DIV/0!</v>
      </c>
    </row>
    <row r="658" spans="1:15" x14ac:dyDescent="0.4">
      <c r="A658" s="1">
        <v>657</v>
      </c>
      <c r="D658" s="2"/>
      <c r="J658" s="2" t="s">
        <v>19</v>
      </c>
      <c r="K658" s="1" t="s">
        <v>20</v>
      </c>
      <c r="M658" s="6"/>
      <c r="N658" s="7"/>
      <c r="O658" s="7" t="e">
        <f t="shared" si="11"/>
        <v>#DIV/0!</v>
      </c>
    </row>
    <row r="659" spans="1:15" x14ac:dyDescent="0.4">
      <c r="A659" s="1">
        <v>658</v>
      </c>
      <c r="D659" s="2"/>
      <c r="J659" s="2" t="s">
        <v>19</v>
      </c>
      <c r="K659" s="1" t="s">
        <v>20</v>
      </c>
      <c r="M659" s="6"/>
      <c r="N659" s="7"/>
      <c r="O659" s="7" t="e">
        <f t="shared" si="11"/>
        <v>#DIV/0!</v>
      </c>
    </row>
    <row r="660" spans="1:15" x14ac:dyDescent="0.4">
      <c r="A660" s="1">
        <v>659</v>
      </c>
      <c r="D660" s="2"/>
      <c r="J660" s="2" t="s">
        <v>19</v>
      </c>
      <c r="K660" s="1" t="s">
        <v>20</v>
      </c>
      <c r="M660" s="6"/>
      <c r="N660" s="7"/>
      <c r="O660" s="7" t="e">
        <f t="shared" si="11"/>
        <v>#DIV/0!</v>
      </c>
    </row>
    <row r="661" spans="1:15" x14ac:dyDescent="0.4">
      <c r="A661" s="1">
        <v>660</v>
      </c>
      <c r="D661" s="2"/>
      <c r="J661" s="2" t="s">
        <v>19</v>
      </c>
      <c r="K661" s="1" t="s">
        <v>20</v>
      </c>
      <c r="M661" s="6"/>
      <c r="N661" s="7"/>
      <c r="O661" s="7" t="e">
        <f t="shared" si="11"/>
        <v>#DIV/0!</v>
      </c>
    </row>
    <row r="662" spans="1:15" x14ac:dyDescent="0.4">
      <c r="A662" s="1">
        <v>661</v>
      </c>
      <c r="D662" s="2"/>
      <c r="J662" s="2" t="s">
        <v>19</v>
      </c>
      <c r="K662" s="1" t="s">
        <v>20</v>
      </c>
      <c r="M662" s="6"/>
      <c r="N662" s="7"/>
      <c r="O662" s="7" t="e">
        <f t="shared" si="11"/>
        <v>#DIV/0!</v>
      </c>
    </row>
    <row r="663" spans="1:15" x14ac:dyDescent="0.4">
      <c r="A663" s="1">
        <v>662</v>
      </c>
      <c r="D663" s="2"/>
      <c r="J663" s="2" t="s">
        <v>19</v>
      </c>
      <c r="K663" s="1" t="s">
        <v>20</v>
      </c>
      <c r="M663" s="6"/>
      <c r="N663" s="7"/>
      <c r="O663" s="7" t="e">
        <f t="shared" si="11"/>
        <v>#DIV/0!</v>
      </c>
    </row>
    <row r="664" spans="1:15" x14ac:dyDescent="0.4">
      <c r="A664" s="1">
        <v>663</v>
      </c>
      <c r="D664" s="2"/>
      <c r="J664" s="2" t="s">
        <v>19</v>
      </c>
      <c r="K664" s="1" t="s">
        <v>20</v>
      </c>
      <c r="M664" s="6"/>
      <c r="N664" s="7"/>
      <c r="O664" s="7" t="e">
        <f t="shared" si="11"/>
        <v>#DIV/0!</v>
      </c>
    </row>
    <row r="665" spans="1:15" x14ac:dyDescent="0.4">
      <c r="A665" s="1">
        <v>664</v>
      </c>
      <c r="D665" s="2"/>
      <c r="J665" s="2" t="s">
        <v>19</v>
      </c>
      <c r="K665" s="1" t="s">
        <v>20</v>
      </c>
      <c r="M665" s="6"/>
      <c r="N665" s="7"/>
      <c r="O665" s="7" t="e">
        <f t="shared" si="11"/>
        <v>#DIV/0!</v>
      </c>
    </row>
    <row r="666" spans="1:15" x14ac:dyDescent="0.4">
      <c r="A666" s="1">
        <v>665</v>
      </c>
      <c r="D666" s="2"/>
      <c r="J666" s="2" t="s">
        <v>19</v>
      </c>
      <c r="K666" s="1" t="s">
        <v>20</v>
      </c>
      <c r="M666" s="6"/>
      <c r="N666" s="7"/>
      <c r="O666" s="7" t="e">
        <f t="shared" si="11"/>
        <v>#DIV/0!</v>
      </c>
    </row>
    <row r="667" spans="1:15" x14ac:dyDescent="0.4">
      <c r="A667" s="1">
        <v>666</v>
      </c>
      <c r="D667" s="2"/>
      <c r="J667" s="2" t="s">
        <v>19</v>
      </c>
      <c r="K667" s="1" t="s">
        <v>20</v>
      </c>
      <c r="M667" s="6"/>
      <c r="N667" s="7"/>
      <c r="O667" s="7" t="e">
        <f t="shared" si="11"/>
        <v>#DIV/0!</v>
      </c>
    </row>
    <row r="668" spans="1:15" x14ac:dyDescent="0.4">
      <c r="A668" s="1">
        <v>667</v>
      </c>
      <c r="D668" s="2"/>
      <c r="J668" s="2" t="s">
        <v>19</v>
      </c>
      <c r="K668" s="1" t="s">
        <v>20</v>
      </c>
      <c r="M668" s="6"/>
      <c r="N668" s="7"/>
      <c r="O668" s="7" t="e">
        <f t="shared" si="11"/>
        <v>#DIV/0!</v>
      </c>
    </row>
    <row r="669" spans="1:15" x14ac:dyDescent="0.4">
      <c r="A669" s="1">
        <v>668</v>
      </c>
      <c r="D669" s="2"/>
      <c r="J669" s="2" t="s">
        <v>19</v>
      </c>
      <c r="K669" s="1" t="s">
        <v>20</v>
      </c>
      <c r="M669" s="6"/>
      <c r="N669" s="7"/>
      <c r="O669" s="7" t="e">
        <f t="shared" si="11"/>
        <v>#DIV/0!</v>
      </c>
    </row>
    <row r="670" spans="1:15" x14ac:dyDescent="0.4">
      <c r="A670" s="1">
        <v>669</v>
      </c>
      <c r="D670" s="2"/>
      <c r="J670" s="2" t="s">
        <v>19</v>
      </c>
      <c r="K670" s="1" t="s">
        <v>20</v>
      </c>
      <c r="M670" s="6"/>
      <c r="N670" s="7"/>
      <c r="O670" s="7" t="e">
        <f t="shared" si="11"/>
        <v>#DIV/0!</v>
      </c>
    </row>
    <row r="671" spans="1:15" x14ac:dyDescent="0.4">
      <c r="A671" s="1">
        <v>670</v>
      </c>
      <c r="D671" s="2"/>
      <c r="J671" s="2" t="s">
        <v>19</v>
      </c>
      <c r="K671" s="1" t="s">
        <v>20</v>
      </c>
      <c r="M671" s="6"/>
      <c r="N671" s="7"/>
      <c r="O671" s="7" t="e">
        <f t="shared" si="11"/>
        <v>#DIV/0!</v>
      </c>
    </row>
    <row r="672" spans="1:15" x14ac:dyDescent="0.4">
      <c r="A672" s="1">
        <v>671</v>
      </c>
      <c r="D672" s="2"/>
      <c r="J672" s="2" t="s">
        <v>19</v>
      </c>
      <c r="K672" s="1" t="s">
        <v>20</v>
      </c>
      <c r="M672" s="6"/>
      <c r="N672" s="7"/>
      <c r="O672" s="7" t="e">
        <f t="shared" si="11"/>
        <v>#DIV/0!</v>
      </c>
    </row>
    <row r="673" spans="1:15" x14ac:dyDescent="0.4">
      <c r="A673" s="1">
        <v>672</v>
      </c>
      <c r="D673" s="2"/>
      <c r="J673" s="2" t="s">
        <v>19</v>
      </c>
      <c r="K673" s="1" t="s">
        <v>20</v>
      </c>
      <c r="M673" s="6"/>
      <c r="N673" s="7"/>
      <c r="O673" s="7" t="e">
        <f t="shared" si="11"/>
        <v>#DIV/0!</v>
      </c>
    </row>
    <row r="674" spans="1:15" x14ac:dyDescent="0.4">
      <c r="A674" s="1">
        <v>673</v>
      </c>
      <c r="D674" s="2"/>
      <c r="J674" s="2" t="s">
        <v>19</v>
      </c>
      <c r="K674" s="1" t="s">
        <v>20</v>
      </c>
      <c r="M674" s="6"/>
      <c r="N674" s="7"/>
      <c r="O674" s="7" t="e">
        <f t="shared" si="11"/>
        <v>#DIV/0!</v>
      </c>
    </row>
    <row r="675" spans="1:15" x14ac:dyDescent="0.4">
      <c r="A675" s="1">
        <v>674</v>
      </c>
      <c r="D675" s="2"/>
      <c r="J675" s="2" t="s">
        <v>19</v>
      </c>
      <c r="K675" s="1" t="s">
        <v>20</v>
      </c>
      <c r="M675" s="6"/>
      <c r="N675" s="7"/>
      <c r="O675" s="7" t="e">
        <f t="shared" si="11"/>
        <v>#DIV/0!</v>
      </c>
    </row>
    <row r="676" spans="1:15" x14ac:dyDescent="0.4">
      <c r="A676" s="1">
        <v>675</v>
      </c>
      <c r="D676" s="2"/>
      <c r="J676" s="2" t="s">
        <v>19</v>
      </c>
      <c r="K676" s="1" t="s">
        <v>20</v>
      </c>
      <c r="M676" s="6"/>
      <c r="N676" s="7"/>
      <c r="O676" s="7" t="e">
        <f t="shared" si="11"/>
        <v>#DIV/0!</v>
      </c>
    </row>
    <row r="677" spans="1:15" x14ac:dyDescent="0.4">
      <c r="A677" s="1">
        <v>676</v>
      </c>
      <c r="D677" s="2"/>
      <c r="J677" s="2" t="s">
        <v>19</v>
      </c>
      <c r="K677" s="1" t="s">
        <v>20</v>
      </c>
      <c r="M677" s="6"/>
      <c r="N677" s="7"/>
      <c r="O677" s="7" t="e">
        <f t="shared" si="11"/>
        <v>#DIV/0!</v>
      </c>
    </row>
    <row r="678" spans="1:15" x14ac:dyDescent="0.4">
      <c r="A678" s="1">
        <v>677</v>
      </c>
      <c r="D678" s="2"/>
      <c r="J678" s="2" t="s">
        <v>19</v>
      </c>
      <c r="K678" s="1" t="s">
        <v>20</v>
      </c>
      <c r="M678" s="6"/>
      <c r="N678" s="7"/>
      <c r="O678" s="7" t="e">
        <f t="shared" si="11"/>
        <v>#DIV/0!</v>
      </c>
    </row>
    <row r="679" spans="1:15" x14ac:dyDescent="0.4">
      <c r="A679" s="1">
        <v>678</v>
      </c>
      <c r="D679" s="2"/>
      <c r="J679" s="2" t="s">
        <v>19</v>
      </c>
      <c r="K679" s="1" t="s">
        <v>20</v>
      </c>
      <c r="M679" s="6"/>
      <c r="N679" s="7"/>
      <c r="O679" s="7" t="e">
        <f t="shared" si="11"/>
        <v>#DIV/0!</v>
      </c>
    </row>
    <row r="680" spans="1:15" x14ac:dyDescent="0.4">
      <c r="A680" s="1">
        <v>679</v>
      </c>
      <c r="D680" s="2"/>
      <c r="J680" s="2" t="s">
        <v>19</v>
      </c>
      <c r="K680" s="1" t="s">
        <v>20</v>
      </c>
      <c r="M680" s="6"/>
      <c r="N680" s="7"/>
      <c r="O680" s="7" t="e">
        <f t="shared" si="11"/>
        <v>#DIV/0!</v>
      </c>
    </row>
    <row r="681" spans="1:15" x14ac:dyDescent="0.4">
      <c r="A681" s="1">
        <v>680</v>
      </c>
      <c r="D681" s="2"/>
      <c r="J681" s="2" t="s">
        <v>19</v>
      </c>
      <c r="K681" s="1" t="s">
        <v>20</v>
      </c>
      <c r="M681" s="6"/>
      <c r="N681" s="7"/>
      <c r="O681" s="7" t="e">
        <f t="shared" si="11"/>
        <v>#DIV/0!</v>
      </c>
    </row>
    <row r="682" spans="1:15" x14ac:dyDescent="0.4">
      <c r="A682" s="1">
        <v>681</v>
      </c>
      <c r="D682" s="2"/>
      <c r="J682" s="2" t="s">
        <v>19</v>
      </c>
      <c r="K682" s="1" t="s">
        <v>20</v>
      </c>
      <c r="M682" s="6"/>
      <c r="N682" s="7"/>
      <c r="O682" s="7" t="e">
        <f t="shared" si="11"/>
        <v>#DIV/0!</v>
      </c>
    </row>
    <row r="683" spans="1:15" x14ac:dyDescent="0.4">
      <c r="A683" s="1">
        <v>682</v>
      </c>
      <c r="D683" s="2"/>
      <c r="J683" s="2" t="s">
        <v>19</v>
      </c>
      <c r="K683" s="1" t="s">
        <v>20</v>
      </c>
      <c r="M683" s="6"/>
      <c r="N683" s="7"/>
      <c r="O683" s="7" t="e">
        <f t="shared" si="11"/>
        <v>#DIV/0!</v>
      </c>
    </row>
    <row r="684" spans="1:15" x14ac:dyDescent="0.4">
      <c r="A684" s="1">
        <v>683</v>
      </c>
      <c r="D684" s="2"/>
      <c r="J684" s="2" t="s">
        <v>19</v>
      </c>
      <c r="K684" s="1" t="s">
        <v>20</v>
      </c>
      <c r="M684" s="6"/>
      <c r="N684" s="7"/>
      <c r="O684" s="7" t="e">
        <f t="shared" si="11"/>
        <v>#DIV/0!</v>
      </c>
    </row>
    <row r="685" spans="1:15" x14ac:dyDescent="0.4">
      <c r="A685" s="1">
        <v>684</v>
      </c>
      <c r="D685" s="2"/>
      <c r="J685" s="2" t="s">
        <v>19</v>
      </c>
      <c r="K685" s="1" t="s">
        <v>20</v>
      </c>
      <c r="M685" s="6"/>
      <c r="N685" s="7"/>
      <c r="O685" s="7" t="e">
        <f t="shared" si="11"/>
        <v>#DIV/0!</v>
      </c>
    </row>
    <row r="686" spans="1:15" x14ac:dyDescent="0.4">
      <c r="A686" s="1">
        <v>685</v>
      </c>
      <c r="D686" s="2"/>
      <c r="J686" s="2" t="s">
        <v>19</v>
      </c>
      <c r="K686" s="1" t="s">
        <v>20</v>
      </c>
      <c r="M686" s="6"/>
      <c r="N686" s="7"/>
      <c r="O686" s="7" t="e">
        <f t="shared" si="11"/>
        <v>#DIV/0!</v>
      </c>
    </row>
    <row r="687" spans="1:15" x14ac:dyDescent="0.4">
      <c r="A687" s="1">
        <v>686</v>
      </c>
      <c r="D687" s="2"/>
      <c r="J687" s="2" t="s">
        <v>19</v>
      </c>
      <c r="K687" s="1" t="s">
        <v>20</v>
      </c>
      <c r="M687" s="6"/>
      <c r="N687" s="7"/>
      <c r="O687" s="7" t="e">
        <f t="shared" si="11"/>
        <v>#DIV/0!</v>
      </c>
    </row>
    <row r="688" spans="1:15" x14ac:dyDescent="0.4">
      <c r="A688" s="1">
        <v>687</v>
      </c>
      <c r="D688" s="2"/>
      <c r="J688" s="2" t="s">
        <v>19</v>
      </c>
      <c r="K688" s="1" t="s">
        <v>20</v>
      </c>
      <c r="M688" s="6"/>
      <c r="N688" s="7"/>
      <c r="O688" s="7" t="e">
        <f t="shared" si="11"/>
        <v>#DIV/0!</v>
      </c>
    </row>
    <row r="689" spans="1:15" x14ac:dyDescent="0.4">
      <c r="A689" s="1">
        <v>688</v>
      </c>
      <c r="D689" s="2"/>
      <c r="J689" s="2" t="s">
        <v>19</v>
      </c>
      <c r="K689" s="1" t="s">
        <v>20</v>
      </c>
      <c r="M689" s="6"/>
      <c r="N689" s="7"/>
      <c r="O689" s="7" t="e">
        <f t="shared" si="11"/>
        <v>#DIV/0!</v>
      </c>
    </row>
    <row r="690" spans="1:15" x14ac:dyDescent="0.4">
      <c r="A690" s="1">
        <v>689</v>
      </c>
      <c r="D690" s="2"/>
      <c r="J690" s="2" t="s">
        <v>19</v>
      </c>
      <c r="K690" s="1" t="s">
        <v>20</v>
      </c>
      <c r="M690" s="6"/>
      <c r="N690" s="7"/>
      <c r="O690" s="7" t="e">
        <f t="shared" si="11"/>
        <v>#DIV/0!</v>
      </c>
    </row>
    <row r="691" spans="1:15" x14ac:dyDescent="0.4">
      <c r="A691" s="1">
        <v>690</v>
      </c>
      <c r="D691" s="2"/>
      <c r="J691" s="2" t="s">
        <v>19</v>
      </c>
      <c r="K691" s="1" t="s">
        <v>20</v>
      </c>
      <c r="M691" s="6"/>
      <c r="N691" s="7"/>
      <c r="O691" s="7" t="e">
        <f t="shared" si="11"/>
        <v>#DIV/0!</v>
      </c>
    </row>
    <row r="692" spans="1:15" x14ac:dyDescent="0.4">
      <c r="A692" s="1">
        <v>691</v>
      </c>
      <c r="D692" s="2"/>
      <c r="J692" s="2" t="s">
        <v>19</v>
      </c>
      <c r="K692" s="1" t="s">
        <v>20</v>
      </c>
      <c r="M692" s="6"/>
      <c r="N692" s="7"/>
      <c r="O692" s="7" t="e">
        <f t="shared" si="11"/>
        <v>#DIV/0!</v>
      </c>
    </row>
    <row r="693" spans="1:15" x14ac:dyDescent="0.4">
      <c r="A693" s="1">
        <v>692</v>
      </c>
      <c r="D693" s="2"/>
      <c r="J693" s="2" t="s">
        <v>19</v>
      </c>
      <c r="K693" s="1" t="s">
        <v>20</v>
      </c>
      <c r="M693" s="6"/>
      <c r="N693" s="7"/>
      <c r="O693" s="7" t="e">
        <f t="shared" si="11"/>
        <v>#DIV/0!</v>
      </c>
    </row>
    <row r="694" spans="1:15" x14ac:dyDescent="0.4">
      <c r="A694" s="1">
        <v>693</v>
      </c>
      <c r="D694" s="2"/>
      <c r="J694" s="2" t="s">
        <v>19</v>
      </c>
      <c r="K694" s="1" t="s">
        <v>20</v>
      </c>
      <c r="M694" s="6"/>
      <c r="N694" s="7"/>
      <c r="O694" s="7" t="e">
        <f t="shared" si="11"/>
        <v>#DIV/0!</v>
      </c>
    </row>
    <row r="695" spans="1:15" x14ac:dyDescent="0.4">
      <c r="A695" s="1">
        <v>694</v>
      </c>
      <c r="D695" s="2"/>
      <c r="J695" s="2" t="s">
        <v>19</v>
      </c>
      <c r="K695" s="1" t="s">
        <v>20</v>
      </c>
      <c r="M695" s="6"/>
      <c r="N695" s="7"/>
      <c r="O695" s="7" t="e">
        <f t="shared" si="11"/>
        <v>#DIV/0!</v>
      </c>
    </row>
    <row r="696" spans="1:15" x14ac:dyDescent="0.4">
      <c r="A696" s="1">
        <v>695</v>
      </c>
      <c r="D696" s="2"/>
      <c r="J696" s="2" t="s">
        <v>19</v>
      </c>
      <c r="K696" s="1" t="s">
        <v>20</v>
      </c>
      <c r="M696" s="6"/>
      <c r="N696" s="7"/>
      <c r="O696" s="7" t="e">
        <f t="shared" si="11"/>
        <v>#DIV/0!</v>
      </c>
    </row>
    <row r="697" spans="1:15" x14ac:dyDescent="0.4">
      <c r="A697" s="1">
        <v>696</v>
      </c>
      <c r="D697" s="2"/>
      <c r="J697" s="2" t="s">
        <v>19</v>
      </c>
      <c r="K697" s="1" t="s">
        <v>20</v>
      </c>
      <c r="M697" s="6"/>
      <c r="N697" s="7"/>
      <c r="O697" s="7" t="e">
        <f t="shared" si="11"/>
        <v>#DIV/0!</v>
      </c>
    </row>
    <row r="698" spans="1:15" x14ac:dyDescent="0.4">
      <c r="A698" s="1">
        <v>697</v>
      </c>
      <c r="D698" s="2"/>
      <c r="J698" s="2" t="s">
        <v>19</v>
      </c>
      <c r="K698" s="1" t="s">
        <v>20</v>
      </c>
      <c r="M698" s="6"/>
      <c r="N698" s="7"/>
      <c r="O698" s="7" t="e">
        <f t="shared" si="11"/>
        <v>#DIV/0!</v>
      </c>
    </row>
    <row r="699" spans="1:15" x14ac:dyDescent="0.4">
      <c r="A699" s="1">
        <v>698</v>
      </c>
      <c r="D699" s="2"/>
      <c r="J699" s="2" t="s">
        <v>19</v>
      </c>
      <c r="K699" s="1" t="s">
        <v>20</v>
      </c>
      <c r="M699" s="6"/>
      <c r="N699" s="7"/>
      <c r="O699" s="7" t="e">
        <f t="shared" si="11"/>
        <v>#DIV/0!</v>
      </c>
    </row>
    <row r="700" spans="1:15" x14ac:dyDescent="0.4">
      <c r="A700" s="1">
        <v>699</v>
      </c>
      <c r="D700" s="2"/>
      <c r="J700" s="2" t="s">
        <v>19</v>
      </c>
      <c r="K700" s="1" t="s">
        <v>20</v>
      </c>
      <c r="M700" s="6"/>
      <c r="N700" s="7"/>
      <c r="O700" s="7" t="e">
        <f t="shared" si="11"/>
        <v>#DIV/0!</v>
      </c>
    </row>
    <row r="701" spans="1:15" x14ac:dyDescent="0.4">
      <c r="A701" s="1">
        <v>700</v>
      </c>
      <c r="D701" s="2"/>
      <c r="J701" s="2" t="s">
        <v>19</v>
      </c>
      <c r="K701" s="1" t="s">
        <v>20</v>
      </c>
      <c r="M701" s="6"/>
      <c r="N701" s="7"/>
      <c r="O701" s="7" t="e">
        <f t="shared" si="11"/>
        <v>#DIV/0!</v>
      </c>
    </row>
    <row r="702" spans="1:15" x14ac:dyDescent="0.4">
      <c r="A702" s="1">
        <v>701</v>
      </c>
      <c r="D702" s="2"/>
      <c r="J702" s="2" t="s">
        <v>19</v>
      </c>
      <c r="K702" s="1" t="s">
        <v>20</v>
      </c>
      <c r="M702" s="6"/>
      <c r="N702" s="7"/>
      <c r="O702" s="7" t="e">
        <f t="shared" si="11"/>
        <v>#DIV/0!</v>
      </c>
    </row>
    <row r="703" spans="1:15" x14ac:dyDescent="0.4">
      <c r="A703" s="1">
        <v>702</v>
      </c>
      <c r="D703" s="2"/>
      <c r="J703" s="2" t="s">
        <v>19</v>
      </c>
      <c r="K703" s="1" t="s">
        <v>20</v>
      </c>
      <c r="M703" s="6"/>
      <c r="N703" s="7"/>
      <c r="O703" s="7" t="e">
        <f t="shared" si="11"/>
        <v>#DIV/0!</v>
      </c>
    </row>
    <row r="704" spans="1:15" x14ac:dyDescent="0.4">
      <c r="A704" s="1">
        <v>703</v>
      </c>
      <c r="D704" s="2"/>
      <c r="J704" s="2" t="s">
        <v>19</v>
      </c>
      <c r="K704" s="1" t="s">
        <v>20</v>
      </c>
      <c r="M704" s="6"/>
      <c r="N704" s="7"/>
      <c r="O704" s="7" t="e">
        <f t="shared" si="11"/>
        <v>#DIV/0!</v>
      </c>
    </row>
    <row r="705" spans="1:15" x14ac:dyDescent="0.4">
      <c r="A705" s="1">
        <v>704</v>
      </c>
      <c r="D705" s="2"/>
      <c r="J705" s="2" t="s">
        <v>19</v>
      </c>
      <c r="K705" s="1" t="s">
        <v>20</v>
      </c>
      <c r="M705" s="6"/>
      <c r="N705" s="7"/>
      <c r="O705" s="7" t="e">
        <f t="shared" si="11"/>
        <v>#DIV/0!</v>
      </c>
    </row>
    <row r="706" spans="1:15" x14ac:dyDescent="0.4">
      <c r="A706" s="1">
        <v>705</v>
      </c>
      <c r="D706" s="2"/>
      <c r="J706" s="2" t="s">
        <v>19</v>
      </c>
      <c r="K706" s="1" t="s">
        <v>20</v>
      </c>
      <c r="M706" s="6"/>
      <c r="N706" s="7"/>
      <c r="O706" s="7" t="e">
        <f t="shared" ref="O706:O769" si="12">N706/M706</f>
        <v>#DIV/0!</v>
      </c>
    </row>
    <row r="707" spans="1:15" x14ac:dyDescent="0.4">
      <c r="A707" s="1">
        <v>706</v>
      </c>
      <c r="D707" s="2"/>
      <c r="J707" s="2" t="s">
        <v>19</v>
      </c>
      <c r="K707" s="1" t="s">
        <v>20</v>
      </c>
      <c r="M707" s="6"/>
      <c r="N707" s="7"/>
      <c r="O707" s="7" t="e">
        <f t="shared" si="12"/>
        <v>#DIV/0!</v>
      </c>
    </row>
    <row r="708" spans="1:15" x14ac:dyDescent="0.4">
      <c r="A708" s="1">
        <v>707</v>
      </c>
      <c r="D708" s="2"/>
      <c r="J708" s="2" t="s">
        <v>19</v>
      </c>
      <c r="K708" s="1" t="s">
        <v>20</v>
      </c>
      <c r="M708" s="6"/>
      <c r="N708" s="7"/>
      <c r="O708" s="7" t="e">
        <f t="shared" si="12"/>
        <v>#DIV/0!</v>
      </c>
    </row>
    <row r="709" spans="1:15" x14ac:dyDescent="0.4">
      <c r="A709" s="1">
        <v>708</v>
      </c>
      <c r="D709" s="2"/>
      <c r="J709" s="2" t="s">
        <v>19</v>
      </c>
      <c r="K709" s="1" t="s">
        <v>20</v>
      </c>
      <c r="M709" s="6"/>
      <c r="N709" s="7"/>
      <c r="O709" s="7" t="e">
        <f t="shared" si="12"/>
        <v>#DIV/0!</v>
      </c>
    </row>
    <row r="710" spans="1:15" x14ac:dyDescent="0.4">
      <c r="A710" s="1">
        <v>709</v>
      </c>
      <c r="D710" s="2"/>
      <c r="J710" s="2" t="s">
        <v>19</v>
      </c>
      <c r="K710" s="1" t="s">
        <v>20</v>
      </c>
      <c r="M710" s="6"/>
      <c r="N710" s="7"/>
      <c r="O710" s="7" t="e">
        <f t="shared" si="12"/>
        <v>#DIV/0!</v>
      </c>
    </row>
    <row r="711" spans="1:15" x14ac:dyDescent="0.4">
      <c r="A711" s="1">
        <v>710</v>
      </c>
      <c r="D711" s="2"/>
      <c r="J711" s="2" t="s">
        <v>19</v>
      </c>
      <c r="K711" s="1" t="s">
        <v>20</v>
      </c>
      <c r="M711" s="6"/>
      <c r="N711" s="7"/>
      <c r="O711" s="7" t="e">
        <f t="shared" si="12"/>
        <v>#DIV/0!</v>
      </c>
    </row>
    <row r="712" spans="1:15" x14ac:dyDescent="0.4">
      <c r="A712" s="1">
        <v>711</v>
      </c>
      <c r="D712" s="2"/>
      <c r="J712" s="2" t="s">
        <v>19</v>
      </c>
      <c r="K712" s="1" t="s">
        <v>20</v>
      </c>
      <c r="M712" s="6"/>
      <c r="N712" s="7"/>
      <c r="O712" s="7" t="e">
        <f t="shared" si="12"/>
        <v>#DIV/0!</v>
      </c>
    </row>
    <row r="713" spans="1:15" x14ac:dyDescent="0.4">
      <c r="A713" s="1">
        <v>712</v>
      </c>
      <c r="D713" s="2"/>
      <c r="J713" s="2" t="s">
        <v>19</v>
      </c>
      <c r="K713" s="1" t="s">
        <v>20</v>
      </c>
      <c r="M713" s="6"/>
      <c r="N713" s="7"/>
      <c r="O713" s="7" t="e">
        <f t="shared" si="12"/>
        <v>#DIV/0!</v>
      </c>
    </row>
    <row r="714" spans="1:15" x14ac:dyDescent="0.4">
      <c r="A714" s="1">
        <v>713</v>
      </c>
      <c r="D714" s="2"/>
      <c r="J714" s="2" t="s">
        <v>19</v>
      </c>
      <c r="K714" s="1" t="s">
        <v>20</v>
      </c>
      <c r="M714" s="6"/>
      <c r="N714" s="7"/>
      <c r="O714" s="7" t="e">
        <f t="shared" si="12"/>
        <v>#DIV/0!</v>
      </c>
    </row>
    <row r="715" spans="1:15" x14ac:dyDescent="0.4">
      <c r="A715" s="1">
        <v>714</v>
      </c>
      <c r="D715" s="2"/>
      <c r="J715" s="2" t="s">
        <v>19</v>
      </c>
      <c r="K715" s="1" t="s">
        <v>20</v>
      </c>
      <c r="M715" s="6"/>
      <c r="N715" s="7"/>
      <c r="O715" s="7" t="e">
        <f t="shared" si="12"/>
        <v>#DIV/0!</v>
      </c>
    </row>
    <row r="716" spans="1:15" x14ac:dyDescent="0.4">
      <c r="A716" s="1">
        <v>715</v>
      </c>
      <c r="D716" s="2"/>
      <c r="J716" s="2" t="s">
        <v>19</v>
      </c>
      <c r="K716" s="1" t="s">
        <v>20</v>
      </c>
      <c r="M716" s="6"/>
      <c r="N716" s="7"/>
      <c r="O716" s="7" t="e">
        <f t="shared" si="12"/>
        <v>#DIV/0!</v>
      </c>
    </row>
    <row r="717" spans="1:15" x14ac:dyDescent="0.4">
      <c r="A717" s="1">
        <v>716</v>
      </c>
      <c r="D717" s="2"/>
      <c r="J717" s="2" t="s">
        <v>19</v>
      </c>
      <c r="K717" s="1" t="s">
        <v>20</v>
      </c>
      <c r="M717" s="6"/>
      <c r="N717" s="7"/>
      <c r="O717" s="7" t="e">
        <f t="shared" si="12"/>
        <v>#DIV/0!</v>
      </c>
    </row>
    <row r="718" spans="1:15" x14ac:dyDescent="0.4">
      <c r="A718" s="1">
        <v>717</v>
      </c>
      <c r="D718" s="2"/>
      <c r="J718" s="2" t="s">
        <v>19</v>
      </c>
      <c r="K718" s="1" t="s">
        <v>20</v>
      </c>
      <c r="M718" s="6"/>
      <c r="N718" s="7"/>
      <c r="O718" s="7" t="e">
        <f t="shared" si="12"/>
        <v>#DIV/0!</v>
      </c>
    </row>
    <row r="719" spans="1:15" x14ac:dyDescent="0.4">
      <c r="A719" s="1">
        <v>718</v>
      </c>
      <c r="D719" s="2"/>
      <c r="J719" s="2" t="s">
        <v>19</v>
      </c>
      <c r="K719" s="1" t="s">
        <v>20</v>
      </c>
      <c r="M719" s="6"/>
      <c r="N719" s="7"/>
      <c r="O719" s="7" t="e">
        <f t="shared" si="12"/>
        <v>#DIV/0!</v>
      </c>
    </row>
    <row r="720" spans="1:15" x14ac:dyDescent="0.4">
      <c r="A720" s="1">
        <v>719</v>
      </c>
      <c r="D720" s="2"/>
      <c r="J720" s="2" t="s">
        <v>19</v>
      </c>
      <c r="K720" s="1" t="s">
        <v>20</v>
      </c>
      <c r="M720" s="6"/>
      <c r="N720" s="7"/>
      <c r="O720" s="7" t="e">
        <f t="shared" si="12"/>
        <v>#DIV/0!</v>
      </c>
    </row>
    <row r="721" spans="1:15" x14ac:dyDescent="0.4">
      <c r="A721" s="1">
        <v>720</v>
      </c>
      <c r="D721" s="2"/>
      <c r="J721" s="2" t="s">
        <v>19</v>
      </c>
      <c r="K721" s="1" t="s">
        <v>20</v>
      </c>
      <c r="M721" s="6"/>
      <c r="N721" s="7"/>
      <c r="O721" s="7" t="e">
        <f t="shared" si="12"/>
        <v>#DIV/0!</v>
      </c>
    </row>
    <row r="722" spans="1:15" x14ac:dyDescent="0.4">
      <c r="A722" s="1">
        <v>721</v>
      </c>
      <c r="D722" s="2"/>
      <c r="J722" s="2" t="s">
        <v>19</v>
      </c>
      <c r="K722" s="1" t="s">
        <v>20</v>
      </c>
      <c r="M722" s="6"/>
      <c r="N722" s="7"/>
      <c r="O722" s="7" t="e">
        <f t="shared" si="12"/>
        <v>#DIV/0!</v>
      </c>
    </row>
    <row r="723" spans="1:15" x14ac:dyDescent="0.4">
      <c r="A723" s="1">
        <v>722</v>
      </c>
      <c r="D723" s="2"/>
      <c r="J723" s="2" t="s">
        <v>19</v>
      </c>
      <c r="K723" s="1" t="s">
        <v>20</v>
      </c>
      <c r="M723" s="6"/>
      <c r="N723" s="7"/>
      <c r="O723" s="7" t="e">
        <f t="shared" si="12"/>
        <v>#DIV/0!</v>
      </c>
    </row>
    <row r="724" spans="1:15" x14ac:dyDescent="0.4">
      <c r="A724" s="1">
        <v>723</v>
      </c>
      <c r="D724" s="2"/>
      <c r="J724" s="2" t="s">
        <v>19</v>
      </c>
      <c r="K724" s="1" t="s">
        <v>20</v>
      </c>
      <c r="M724" s="6"/>
      <c r="N724" s="7"/>
      <c r="O724" s="7" t="e">
        <f t="shared" si="12"/>
        <v>#DIV/0!</v>
      </c>
    </row>
    <row r="725" spans="1:15" x14ac:dyDescent="0.4">
      <c r="A725" s="1">
        <v>724</v>
      </c>
      <c r="D725" s="2"/>
      <c r="J725" s="2" t="s">
        <v>19</v>
      </c>
      <c r="K725" s="1" t="s">
        <v>20</v>
      </c>
      <c r="M725" s="6"/>
      <c r="N725" s="7"/>
      <c r="O725" s="7" t="e">
        <f t="shared" si="12"/>
        <v>#DIV/0!</v>
      </c>
    </row>
    <row r="726" spans="1:15" x14ac:dyDescent="0.4">
      <c r="A726" s="1">
        <v>725</v>
      </c>
      <c r="D726" s="2"/>
      <c r="J726" s="2" t="s">
        <v>19</v>
      </c>
      <c r="K726" s="1" t="s">
        <v>20</v>
      </c>
      <c r="M726" s="6"/>
      <c r="N726" s="7"/>
      <c r="O726" s="7" t="e">
        <f t="shared" si="12"/>
        <v>#DIV/0!</v>
      </c>
    </row>
    <row r="727" spans="1:15" x14ac:dyDescent="0.4">
      <c r="A727" s="1">
        <v>726</v>
      </c>
      <c r="D727" s="2"/>
      <c r="J727" s="2" t="s">
        <v>19</v>
      </c>
      <c r="K727" s="1" t="s">
        <v>20</v>
      </c>
      <c r="M727" s="6"/>
      <c r="N727" s="7"/>
      <c r="O727" s="7" t="e">
        <f t="shared" si="12"/>
        <v>#DIV/0!</v>
      </c>
    </row>
    <row r="728" spans="1:15" x14ac:dyDescent="0.4">
      <c r="A728" s="1">
        <v>727</v>
      </c>
      <c r="D728" s="2"/>
      <c r="J728" s="2" t="s">
        <v>19</v>
      </c>
      <c r="K728" s="1" t="s">
        <v>20</v>
      </c>
      <c r="M728" s="6"/>
      <c r="N728" s="7"/>
      <c r="O728" s="7" t="e">
        <f t="shared" si="12"/>
        <v>#DIV/0!</v>
      </c>
    </row>
    <row r="729" spans="1:15" x14ac:dyDescent="0.4">
      <c r="A729" s="1">
        <v>728</v>
      </c>
      <c r="D729" s="2"/>
      <c r="J729" s="2" t="s">
        <v>19</v>
      </c>
      <c r="K729" s="1" t="s">
        <v>20</v>
      </c>
      <c r="M729" s="6"/>
      <c r="N729" s="7"/>
      <c r="O729" s="7" t="e">
        <f t="shared" si="12"/>
        <v>#DIV/0!</v>
      </c>
    </row>
    <row r="730" spans="1:15" x14ac:dyDescent="0.4">
      <c r="A730" s="1">
        <v>729</v>
      </c>
      <c r="D730" s="2"/>
      <c r="J730" s="2" t="s">
        <v>19</v>
      </c>
      <c r="K730" s="1" t="s">
        <v>20</v>
      </c>
      <c r="M730" s="6"/>
      <c r="N730" s="7"/>
      <c r="O730" s="7" t="e">
        <f t="shared" si="12"/>
        <v>#DIV/0!</v>
      </c>
    </row>
    <row r="731" spans="1:15" x14ac:dyDescent="0.4">
      <c r="A731" s="1">
        <v>730</v>
      </c>
      <c r="D731" s="2"/>
      <c r="J731" s="2" t="s">
        <v>19</v>
      </c>
      <c r="K731" s="1" t="s">
        <v>20</v>
      </c>
      <c r="M731" s="6"/>
      <c r="N731" s="7"/>
      <c r="O731" s="7" t="e">
        <f t="shared" si="12"/>
        <v>#DIV/0!</v>
      </c>
    </row>
    <row r="732" spans="1:15" x14ac:dyDescent="0.4">
      <c r="A732" s="1">
        <v>731</v>
      </c>
      <c r="D732" s="2"/>
      <c r="J732" s="2" t="s">
        <v>19</v>
      </c>
      <c r="K732" s="1" t="s">
        <v>20</v>
      </c>
      <c r="M732" s="6"/>
      <c r="N732" s="7"/>
      <c r="O732" s="7" t="e">
        <f t="shared" si="12"/>
        <v>#DIV/0!</v>
      </c>
    </row>
    <row r="733" spans="1:15" x14ac:dyDescent="0.4">
      <c r="A733" s="1">
        <v>732</v>
      </c>
      <c r="D733" s="2"/>
      <c r="J733" s="2" t="s">
        <v>19</v>
      </c>
      <c r="K733" s="1" t="s">
        <v>20</v>
      </c>
      <c r="M733" s="6"/>
      <c r="N733" s="7"/>
      <c r="O733" s="7" t="e">
        <f t="shared" si="12"/>
        <v>#DIV/0!</v>
      </c>
    </row>
    <row r="734" spans="1:15" x14ac:dyDescent="0.4">
      <c r="A734" s="1">
        <v>733</v>
      </c>
      <c r="D734" s="2"/>
      <c r="J734" s="2" t="s">
        <v>19</v>
      </c>
      <c r="K734" s="1" t="s">
        <v>20</v>
      </c>
      <c r="M734" s="6"/>
      <c r="N734" s="7"/>
      <c r="O734" s="7" t="e">
        <f t="shared" si="12"/>
        <v>#DIV/0!</v>
      </c>
    </row>
    <row r="735" spans="1:15" x14ac:dyDescent="0.4">
      <c r="A735" s="1">
        <v>734</v>
      </c>
      <c r="D735" s="2"/>
      <c r="J735" s="2" t="s">
        <v>19</v>
      </c>
      <c r="K735" s="1" t="s">
        <v>20</v>
      </c>
      <c r="M735" s="6"/>
      <c r="N735" s="7"/>
      <c r="O735" s="7" t="e">
        <f t="shared" si="12"/>
        <v>#DIV/0!</v>
      </c>
    </row>
    <row r="736" spans="1:15" x14ac:dyDescent="0.4">
      <c r="A736" s="1">
        <v>735</v>
      </c>
      <c r="D736" s="2"/>
      <c r="J736" s="2" t="s">
        <v>19</v>
      </c>
      <c r="K736" s="1" t="s">
        <v>20</v>
      </c>
      <c r="M736" s="6"/>
      <c r="N736" s="7"/>
      <c r="O736" s="7" t="e">
        <f t="shared" si="12"/>
        <v>#DIV/0!</v>
      </c>
    </row>
    <row r="737" spans="1:15" x14ac:dyDescent="0.4">
      <c r="A737" s="1">
        <v>736</v>
      </c>
      <c r="D737" s="2"/>
      <c r="J737" s="2" t="s">
        <v>19</v>
      </c>
      <c r="K737" s="1" t="s">
        <v>20</v>
      </c>
      <c r="M737" s="6"/>
      <c r="N737" s="7"/>
      <c r="O737" s="7" t="e">
        <f t="shared" si="12"/>
        <v>#DIV/0!</v>
      </c>
    </row>
    <row r="738" spans="1:15" x14ac:dyDescent="0.4">
      <c r="A738" s="1">
        <v>737</v>
      </c>
      <c r="D738" s="2"/>
      <c r="J738" s="2" t="s">
        <v>19</v>
      </c>
      <c r="K738" s="1" t="s">
        <v>20</v>
      </c>
      <c r="M738" s="6"/>
      <c r="N738" s="7"/>
      <c r="O738" s="7" t="e">
        <f t="shared" si="12"/>
        <v>#DIV/0!</v>
      </c>
    </row>
    <row r="739" spans="1:15" x14ac:dyDescent="0.4">
      <c r="A739" s="1">
        <v>738</v>
      </c>
      <c r="D739" s="2"/>
      <c r="J739" s="2" t="s">
        <v>19</v>
      </c>
      <c r="K739" s="1" t="s">
        <v>20</v>
      </c>
      <c r="M739" s="6"/>
      <c r="N739" s="7"/>
      <c r="O739" s="7" t="e">
        <f t="shared" si="12"/>
        <v>#DIV/0!</v>
      </c>
    </row>
    <row r="740" spans="1:15" x14ac:dyDescent="0.4">
      <c r="A740" s="1">
        <v>739</v>
      </c>
      <c r="D740" s="2"/>
      <c r="J740" s="2" t="s">
        <v>19</v>
      </c>
      <c r="K740" s="1" t="s">
        <v>20</v>
      </c>
      <c r="M740" s="6"/>
      <c r="N740" s="7"/>
      <c r="O740" s="7" t="e">
        <f t="shared" si="12"/>
        <v>#DIV/0!</v>
      </c>
    </row>
    <row r="741" spans="1:15" x14ac:dyDescent="0.4">
      <c r="A741" s="1">
        <v>740</v>
      </c>
      <c r="D741" s="2"/>
      <c r="J741" s="2" t="s">
        <v>19</v>
      </c>
      <c r="K741" s="1" t="s">
        <v>20</v>
      </c>
      <c r="M741" s="6"/>
      <c r="N741" s="7"/>
      <c r="O741" s="7" t="e">
        <f t="shared" si="12"/>
        <v>#DIV/0!</v>
      </c>
    </row>
    <row r="742" spans="1:15" x14ac:dyDescent="0.4">
      <c r="A742" s="1">
        <v>741</v>
      </c>
      <c r="D742" s="2"/>
      <c r="J742" s="2" t="s">
        <v>19</v>
      </c>
      <c r="K742" s="1" t="s">
        <v>20</v>
      </c>
      <c r="M742" s="6"/>
      <c r="N742" s="7"/>
      <c r="O742" s="7" t="e">
        <f t="shared" si="12"/>
        <v>#DIV/0!</v>
      </c>
    </row>
    <row r="743" spans="1:15" x14ac:dyDescent="0.4">
      <c r="A743" s="1">
        <v>742</v>
      </c>
      <c r="D743" s="2"/>
      <c r="J743" s="2" t="s">
        <v>19</v>
      </c>
      <c r="K743" s="1" t="s">
        <v>20</v>
      </c>
      <c r="M743" s="6"/>
      <c r="N743" s="7"/>
      <c r="O743" s="7" t="e">
        <f t="shared" si="12"/>
        <v>#DIV/0!</v>
      </c>
    </row>
    <row r="744" spans="1:15" x14ac:dyDescent="0.4">
      <c r="A744" s="1">
        <v>743</v>
      </c>
      <c r="D744" s="2"/>
      <c r="J744" s="2" t="s">
        <v>19</v>
      </c>
      <c r="K744" s="1" t="s">
        <v>20</v>
      </c>
      <c r="M744" s="6"/>
      <c r="N744" s="7"/>
      <c r="O744" s="7" t="e">
        <f t="shared" si="12"/>
        <v>#DIV/0!</v>
      </c>
    </row>
    <row r="745" spans="1:15" x14ac:dyDescent="0.4">
      <c r="A745" s="1">
        <v>744</v>
      </c>
      <c r="D745" s="2"/>
      <c r="J745" s="2" t="s">
        <v>19</v>
      </c>
      <c r="K745" s="1" t="s">
        <v>20</v>
      </c>
      <c r="M745" s="6"/>
      <c r="N745" s="7"/>
      <c r="O745" s="7" t="e">
        <f t="shared" si="12"/>
        <v>#DIV/0!</v>
      </c>
    </row>
    <row r="746" spans="1:15" x14ac:dyDescent="0.4">
      <c r="A746" s="1">
        <v>745</v>
      </c>
      <c r="D746" s="2"/>
      <c r="J746" s="2" t="s">
        <v>19</v>
      </c>
      <c r="K746" s="1" t="s">
        <v>20</v>
      </c>
      <c r="M746" s="6"/>
      <c r="N746" s="7"/>
      <c r="O746" s="7" t="e">
        <f t="shared" si="12"/>
        <v>#DIV/0!</v>
      </c>
    </row>
    <row r="747" spans="1:15" x14ac:dyDescent="0.4">
      <c r="A747" s="1">
        <v>746</v>
      </c>
      <c r="D747" s="2"/>
      <c r="J747" s="2" t="s">
        <v>19</v>
      </c>
      <c r="K747" s="1" t="s">
        <v>20</v>
      </c>
      <c r="M747" s="6"/>
      <c r="N747" s="7"/>
      <c r="O747" s="7" t="e">
        <f t="shared" si="12"/>
        <v>#DIV/0!</v>
      </c>
    </row>
    <row r="748" spans="1:15" x14ac:dyDescent="0.4">
      <c r="A748" s="1">
        <v>747</v>
      </c>
      <c r="D748" s="2"/>
      <c r="J748" s="2" t="s">
        <v>19</v>
      </c>
      <c r="K748" s="1" t="s">
        <v>20</v>
      </c>
      <c r="M748" s="6"/>
      <c r="N748" s="7"/>
      <c r="O748" s="7" t="e">
        <f t="shared" si="12"/>
        <v>#DIV/0!</v>
      </c>
    </row>
    <row r="749" spans="1:15" x14ac:dyDescent="0.4">
      <c r="A749" s="1">
        <v>748</v>
      </c>
      <c r="D749" s="2"/>
      <c r="J749" s="2" t="s">
        <v>19</v>
      </c>
      <c r="K749" s="1" t="s">
        <v>20</v>
      </c>
      <c r="M749" s="6"/>
      <c r="N749" s="7"/>
      <c r="O749" s="7" t="e">
        <f t="shared" si="12"/>
        <v>#DIV/0!</v>
      </c>
    </row>
    <row r="750" spans="1:15" x14ac:dyDescent="0.4">
      <c r="A750" s="1">
        <v>749</v>
      </c>
      <c r="D750" s="2"/>
      <c r="J750" s="2" t="s">
        <v>19</v>
      </c>
      <c r="K750" s="1" t="s">
        <v>20</v>
      </c>
      <c r="M750" s="6"/>
      <c r="N750" s="7"/>
      <c r="O750" s="7" t="e">
        <f t="shared" si="12"/>
        <v>#DIV/0!</v>
      </c>
    </row>
    <row r="751" spans="1:15" x14ac:dyDescent="0.4">
      <c r="A751" s="1">
        <v>750</v>
      </c>
      <c r="D751" s="2"/>
      <c r="J751" s="2" t="s">
        <v>19</v>
      </c>
      <c r="K751" s="1" t="s">
        <v>20</v>
      </c>
      <c r="M751" s="6"/>
      <c r="N751" s="7"/>
      <c r="O751" s="7" t="e">
        <f t="shared" si="12"/>
        <v>#DIV/0!</v>
      </c>
    </row>
    <row r="752" spans="1:15" x14ac:dyDescent="0.4">
      <c r="A752" s="1">
        <v>751</v>
      </c>
      <c r="D752" s="2"/>
      <c r="J752" s="2" t="s">
        <v>19</v>
      </c>
      <c r="K752" s="1" t="s">
        <v>20</v>
      </c>
      <c r="M752" s="6"/>
      <c r="N752" s="7"/>
      <c r="O752" s="7" t="e">
        <f t="shared" si="12"/>
        <v>#DIV/0!</v>
      </c>
    </row>
    <row r="753" spans="1:15" x14ac:dyDescent="0.4">
      <c r="A753" s="1">
        <v>752</v>
      </c>
      <c r="D753" s="2"/>
      <c r="J753" s="2" t="s">
        <v>19</v>
      </c>
      <c r="K753" s="1" t="s">
        <v>20</v>
      </c>
      <c r="M753" s="6"/>
      <c r="N753" s="7"/>
      <c r="O753" s="7" t="e">
        <f t="shared" si="12"/>
        <v>#DIV/0!</v>
      </c>
    </row>
    <row r="754" spans="1:15" x14ac:dyDescent="0.4">
      <c r="A754" s="1">
        <v>753</v>
      </c>
      <c r="D754" s="2"/>
      <c r="J754" s="2" t="s">
        <v>19</v>
      </c>
      <c r="K754" s="1" t="s">
        <v>20</v>
      </c>
      <c r="M754" s="6"/>
      <c r="N754" s="7"/>
      <c r="O754" s="7" t="e">
        <f t="shared" si="12"/>
        <v>#DIV/0!</v>
      </c>
    </row>
    <row r="755" spans="1:15" x14ac:dyDescent="0.4">
      <c r="A755" s="1">
        <v>754</v>
      </c>
      <c r="D755" s="2"/>
      <c r="J755" s="2" t="s">
        <v>19</v>
      </c>
      <c r="K755" s="1" t="s">
        <v>20</v>
      </c>
      <c r="M755" s="6"/>
      <c r="N755" s="7"/>
      <c r="O755" s="7" t="e">
        <f t="shared" si="12"/>
        <v>#DIV/0!</v>
      </c>
    </row>
    <row r="756" spans="1:15" x14ac:dyDescent="0.4">
      <c r="A756" s="1">
        <v>755</v>
      </c>
      <c r="D756" s="2"/>
      <c r="J756" s="2" t="s">
        <v>19</v>
      </c>
      <c r="K756" s="1" t="s">
        <v>20</v>
      </c>
      <c r="M756" s="6"/>
      <c r="N756" s="7"/>
      <c r="O756" s="7" t="e">
        <f t="shared" si="12"/>
        <v>#DIV/0!</v>
      </c>
    </row>
    <row r="757" spans="1:15" x14ac:dyDescent="0.4">
      <c r="A757" s="1">
        <v>756</v>
      </c>
      <c r="D757" s="2"/>
      <c r="J757" s="2" t="s">
        <v>19</v>
      </c>
      <c r="K757" s="1" t="s">
        <v>20</v>
      </c>
      <c r="M757" s="6"/>
      <c r="N757" s="7"/>
      <c r="O757" s="7" t="e">
        <f t="shared" si="12"/>
        <v>#DIV/0!</v>
      </c>
    </row>
    <row r="758" spans="1:15" x14ac:dyDescent="0.4">
      <c r="A758" s="1">
        <v>757</v>
      </c>
      <c r="D758" s="2"/>
      <c r="J758" s="2" t="s">
        <v>19</v>
      </c>
      <c r="K758" s="1" t="s">
        <v>20</v>
      </c>
      <c r="M758" s="6"/>
      <c r="N758" s="7"/>
      <c r="O758" s="7" t="e">
        <f t="shared" si="12"/>
        <v>#DIV/0!</v>
      </c>
    </row>
    <row r="759" spans="1:15" x14ac:dyDescent="0.4">
      <c r="A759" s="1">
        <v>758</v>
      </c>
      <c r="D759" s="2"/>
      <c r="J759" s="2" t="s">
        <v>19</v>
      </c>
      <c r="K759" s="1" t="s">
        <v>20</v>
      </c>
      <c r="M759" s="6"/>
      <c r="N759" s="7"/>
      <c r="O759" s="7" t="e">
        <f t="shared" si="12"/>
        <v>#DIV/0!</v>
      </c>
    </row>
    <row r="760" spans="1:15" x14ac:dyDescent="0.4">
      <c r="A760" s="1">
        <v>759</v>
      </c>
      <c r="D760" s="2"/>
      <c r="J760" s="2" t="s">
        <v>19</v>
      </c>
      <c r="K760" s="1" t="s">
        <v>20</v>
      </c>
      <c r="M760" s="6"/>
      <c r="N760" s="7"/>
      <c r="O760" s="7" t="e">
        <f t="shared" si="12"/>
        <v>#DIV/0!</v>
      </c>
    </row>
    <row r="761" spans="1:15" x14ac:dyDescent="0.4">
      <c r="A761" s="1">
        <v>760</v>
      </c>
      <c r="D761" s="2"/>
      <c r="J761" s="2" t="s">
        <v>19</v>
      </c>
      <c r="K761" s="1" t="s">
        <v>20</v>
      </c>
      <c r="M761" s="6"/>
      <c r="N761" s="7"/>
      <c r="O761" s="7" t="e">
        <f t="shared" si="12"/>
        <v>#DIV/0!</v>
      </c>
    </row>
    <row r="762" spans="1:15" x14ac:dyDescent="0.4">
      <c r="A762" s="1">
        <v>761</v>
      </c>
      <c r="D762" s="2"/>
      <c r="J762" s="2" t="s">
        <v>19</v>
      </c>
      <c r="K762" s="1" t="s">
        <v>20</v>
      </c>
      <c r="M762" s="6"/>
      <c r="N762" s="7"/>
      <c r="O762" s="7" t="e">
        <f t="shared" si="12"/>
        <v>#DIV/0!</v>
      </c>
    </row>
    <row r="763" spans="1:15" x14ac:dyDescent="0.4">
      <c r="A763" s="1">
        <v>762</v>
      </c>
      <c r="D763" s="2"/>
      <c r="J763" s="2" t="s">
        <v>19</v>
      </c>
      <c r="K763" s="1" t="s">
        <v>20</v>
      </c>
      <c r="M763" s="6"/>
      <c r="N763" s="7"/>
      <c r="O763" s="7" t="e">
        <f t="shared" si="12"/>
        <v>#DIV/0!</v>
      </c>
    </row>
    <row r="764" spans="1:15" x14ac:dyDescent="0.4">
      <c r="A764" s="1">
        <v>763</v>
      </c>
      <c r="D764" s="2"/>
      <c r="J764" s="2" t="s">
        <v>19</v>
      </c>
      <c r="K764" s="1" t="s">
        <v>20</v>
      </c>
      <c r="M764" s="6"/>
      <c r="N764" s="7"/>
      <c r="O764" s="7" t="e">
        <f t="shared" si="12"/>
        <v>#DIV/0!</v>
      </c>
    </row>
    <row r="765" spans="1:15" x14ac:dyDescent="0.4">
      <c r="A765" s="1">
        <v>764</v>
      </c>
      <c r="D765" s="2"/>
      <c r="J765" s="2" t="s">
        <v>19</v>
      </c>
      <c r="K765" s="1" t="s">
        <v>20</v>
      </c>
      <c r="M765" s="6"/>
      <c r="N765" s="7"/>
      <c r="O765" s="7" t="e">
        <f t="shared" si="12"/>
        <v>#DIV/0!</v>
      </c>
    </row>
    <row r="766" spans="1:15" x14ac:dyDescent="0.4">
      <c r="A766" s="1">
        <v>765</v>
      </c>
      <c r="D766" s="2"/>
      <c r="J766" s="2" t="s">
        <v>19</v>
      </c>
      <c r="K766" s="1" t="s">
        <v>20</v>
      </c>
      <c r="M766" s="6"/>
      <c r="N766" s="7"/>
      <c r="O766" s="7" t="e">
        <f t="shared" si="12"/>
        <v>#DIV/0!</v>
      </c>
    </row>
    <row r="767" spans="1:15" x14ac:dyDescent="0.4">
      <c r="A767" s="1">
        <v>766</v>
      </c>
      <c r="D767" s="2"/>
      <c r="J767" s="2" t="s">
        <v>19</v>
      </c>
      <c r="K767" s="1" t="s">
        <v>20</v>
      </c>
      <c r="M767" s="6"/>
      <c r="N767" s="7"/>
      <c r="O767" s="7" t="e">
        <f t="shared" si="12"/>
        <v>#DIV/0!</v>
      </c>
    </row>
    <row r="768" spans="1:15" x14ac:dyDescent="0.4">
      <c r="A768" s="1">
        <v>767</v>
      </c>
      <c r="D768" s="2"/>
      <c r="J768" s="2" t="s">
        <v>19</v>
      </c>
      <c r="K768" s="1" t="s">
        <v>20</v>
      </c>
      <c r="M768" s="6"/>
      <c r="N768" s="7"/>
      <c r="O768" s="7" t="e">
        <f t="shared" si="12"/>
        <v>#DIV/0!</v>
      </c>
    </row>
    <row r="769" spans="1:15" x14ac:dyDescent="0.4">
      <c r="A769" s="1">
        <v>768</v>
      </c>
      <c r="D769" s="2"/>
      <c r="J769" s="2" t="s">
        <v>19</v>
      </c>
      <c r="K769" s="1" t="s">
        <v>20</v>
      </c>
      <c r="M769" s="6"/>
      <c r="N769" s="7"/>
      <c r="O769" s="7" t="e">
        <f t="shared" si="12"/>
        <v>#DIV/0!</v>
      </c>
    </row>
    <row r="770" spans="1:15" x14ac:dyDescent="0.4">
      <c r="A770" s="1">
        <v>769</v>
      </c>
      <c r="D770" s="2"/>
      <c r="J770" s="2" t="s">
        <v>19</v>
      </c>
      <c r="K770" s="1" t="s">
        <v>20</v>
      </c>
      <c r="M770" s="6"/>
      <c r="N770" s="7"/>
      <c r="O770" s="7" t="e">
        <f t="shared" ref="O770:O833" si="13">N770/M770</f>
        <v>#DIV/0!</v>
      </c>
    </row>
    <row r="771" spans="1:15" x14ac:dyDescent="0.4">
      <c r="A771" s="1">
        <v>770</v>
      </c>
      <c r="D771" s="2"/>
      <c r="J771" s="2" t="s">
        <v>19</v>
      </c>
      <c r="K771" s="1" t="s">
        <v>20</v>
      </c>
      <c r="M771" s="6"/>
      <c r="N771" s="7"/>
      <c r="O771" s="7" t="e">
        <f t="shared" si="13"/>
        <v>#DIV/0!</v>
      </c>
    </row>
    <row r="772" spans="1:15" x14ac:dyDescent="0.4">
      <c r="A772" s="1">
        <v>771</v>
      </c>
      <c r="D772" s="2"/>
      <c r="J772" s="2" t="s">
        <v>19</v>
      </c>
      <c r="K772" s="1" t="s">
        <v>20</v>
      </c>
      <c r="M772" s="6"/>
      <c r="N772" s="7"/>
      <c r="O772" s="7" t="e">
        <f t="shared" si="13"/>
        <v>#DIV/0!</v>
      </c>
    </row>
    <row r="773" spans="1:15" x14ac:dyDescent="0.4">
      <c r="A773" s="1">
        <v>772</v>
      </c>
      <c r="D773" s="2"/>
      <c r="J773" s="2" t="s">
        <v>19</v>
      </c>
      <c r="K773" s="1" t="s">
        <v>20</v>
      </c>
      <c r="M773" s="6"/>
      <c r="N773" s="7"/>
      <c r="O773" s="7" t="e">
        <f t="shared" si="13"/>
        <v>#DIV/0!</v>
      </c>
    </row>
    <row r="774" spans="1:15" x14ac:dyDescent="0.4">
      <c r="A774" s="1">
        <v>773</v>
      </c>
      <c r="D774" s="2"/>
      <c r="J774" s="2" t="s">
        <v>19</v>
      </c>
      <c r="K774" s="1" t="s">
        <v>20</v>
      </c>
      <c r="M774" s="6"/>
      <c r="N774" s="7"/>
      <c r="O774" s="7" t="e">
        <f t="shared" si="13"/>
        <v>#DIV/0!</v>
      </c>
    </row>
    <row r="775" spans="1:15" x14ac:dyDescent="0.4">
      <c r="A775" s="1">
        <v>774</v>
      </c>
      <c r="D775" s="2"/>
      <c r="J775" s="2" t="s">
        <v>19</v>
      </c>
      <c r="K775" s="1" t="s">
        <v>20</v>
      </c>
      <c r="M775" s="6"/>
      <c r="N775" s="7"/>
      <c r="O775" s="7" t="e">
        <f t="shared" si="13"/>
        <v>#DIV/0!</v>
      </c>
    </row>
    <row r="776" spans="1:15" x14ac:dyDescent="0.4">
      <c r="A776" s="1">
        <v>775</v>
      </c>
      <c r="D776" s="2"/>
      <c r="J776" s="2" t="s">
        <v>19</v>
      </c>
      <c r="K776" s="1" t="s">
        <v>20</v>
      </c>
      <c r="M776" s="6"/>
      <c r="N776" s="7"/>
      <c r="O776" s="7" t="e">
        <f t="shared" si="13"/>
        <v>#DIV/0!</v>
      </c>
    </row>
    <row r="777" spans="1:15" x14ac:dyDescent="0.4">
      <c r="A777" s="1">
        <v>776</v>
      </c>
      <c r="D777" s="2"/>
      <c r="J777" s="2" t="s">
        <v>19</v>
      </c>
      <c r="K777" s="1" t="s">
        <v>20</v>
      </c>
      <c r="M777" s="6"/>
      <c r="N777" s="7"/>
      <c r="O777" s="7" t="e">
        <f t="shared" si="13"/>
        <v>#DIV/0!</v>
      </c>
    </row>
    <row r="778" spans="1:15" x14ac:dyDescent="0.4">
      <c r="A778" s="1">
        <v>777</v>
      </c>
      <c r="D778" s="2"/>
      <c r="J778" s="2" t="s">
        <v>19</v>
      </c>
      <c r="K778" s="1" t="s">
        <v>20</v>
      </c>
      <c r="M778" s="6"/>
      <c r="N778" s="7"/>
      <c r="O778" s="7" t="e">
        <f t="shared" si="13"/>
        <v>#DIV/0!</v>
      </c>
    </row>
    <row r="779" spans="1:15" x14ac:dyDescent="0.4">
      <c r="A779" s="1">
        <v>778</v>
      </c>
      <c r="D779" s="2"/>
      <c r="J779" s="2" t="s">
        <v>19</v>
      </c>
      <c r="K779" s="1" t="s">
        <v>20</v>
      </c>
      <c r="M779" s="6"/>
      <c r="N779" s="7"/>
      <c r="O779" s="7" t="e">
        <f t="shared" si="13"/>
        <v>#DIV/0!</v>
      </c>
    </row>
    <row r="780" spans="1:15" x14ac:dyDescent="0.4">
      <c r="A780" s="1">
        <v>779</v>
      </c>
      <c r="D780" s="2"/>
      <c r="J780" s="2" t="s">
        <v>19</v>
      </c>
      <c r="K780" s="1" t="s">
        <v>20</v>
      </c>
      <c r="M780" s="6"/>
      <c r="N780" s="7"/>
      <c r="O780" s="7" t="e">
        <f t="shared" si="13"/>
        <v>#DIV/0!</v>
      </c>
    </row>
    <row r="781" spans="1:15" x14ac:dyDescent="0.4">
      <c r="A781" s="1">
        <v>780</v>
      </c>
      <c r="D781" s="2"/>
      <c r="J781" s="2" t="s">
        <v>19</v>
      </c>
      <c r="K781" s="1" t="s">
        <v>20</v>
      </c>
      <c r="M781" s="6"/>
      <c r="N781" s="7"/>
      <c r="O781" s="7" t="e">
        <f t="shared" si="13"/>
        <v>#DIV/0!</v>
      </c>
    </row>
    <row r="782" spans="1:15" x14ac:dyDescent="0.4">
      <c r="A782" s="1">
        <v>781</v>
      </c>
      <c r="D782" s="2"/>
      <c r="J782" s="2" t="s">
        <v>19</v>
      </c>
      <c r="K782" s="1" t="s">
        <v>20</v>
      </c>
      <c r="M782" s="6"/>
      <c r="N782" s="7"/>
      <c r="O782" s="7" t="e">
        <f t="shared" si="13"/>
        <v>#DIV/0!</v>
      </c>
    </row>
    <row r="783" spans="1:15" x14ac:dyDescent="0.4">
      <c r="A783" s="1">
        <v>782</v>
      </c>
      <c r="D783" s="2"/>
      <c r="J783" s="2" t="s">
        <v>19</v>
      </c>
      <c r="K783" s="1" t="s">
        <v>20</v>
      </c>
      <c r="M783" s="6"/>
      <c r="N783" s="7"/>
      <c r="O783" s="7" t="e">
        <f t="shared" si="13"/>
        <v>#DIV/0!</v>
      </c>
    </row>
    <row r="784" spans="1:15" x14ac:dyDescent="0.4">
      <c r="A784" s="1">
        <v>783</v>
      </c>
      <c r="D784" s="2"/>
      <c r="J784" s="2" t="s">
        <v>19</v>
      </c>
      <c r="K784" s="1" t="s">
        <v>20</v>
      </c>
      <c r="M784" s="6"/>
      <c r="N784" s="7"/>
      <c r="O784" s="7" t="e">
        <f t="shared" si="13"/>
        <v>#DIV/0!</v>
      </c>
    </row>
    <row r="785" spans="1:15" x14ac:dyDescent="0.4">
      <c r="A785" s="1">
        <v>784</v>
      </c>
      <c r="D785" s="2"/>
      <c r="J785" s="2" t="s">
        <v>19</v>
      </c>
      <c r="K785" s="1" t="s">
        <v>20</v>
      </c>
      <c r="M785" s="6"/>
      <c r="N785" s="7"/>
      <c r="O785" s="7" t="e">
        <f t="shared" si="13"/>
        <v>#DIV/0!</v>
      </c>
    </row>
    <row r="786" spans="1:15" x14ac:dyDescent="0.4">
      <c r="A786" s="1">
        <v>785</v>
      </c>
      <c r="D786" s="2"/>
      <c r="J786" s="2" t="s">
        <v>19</v>
      </c>
      <c r="K786" s="1" t="s">
        <v>20</v>
      </c>
      <c r="M786" s="6"/>
      <c r="N786" s="7"/>
      <c r="O786" s="7" t="e">
        <f t="shared" si="13"/>
        <v>#DIV/0!</v>
      </c>
    </row>
    <row r="787" spans="1:15" x14ac:dyDescent="0.4">
      <c r="A787" s="1">
        <v>786</v>
      </c>
      <c r="D787" s="2"/>
      <c r="J787" s="2" t="s">
        <v>19</v>
      </c>
      <c r="K787" s="1" t="s">
        <v>20</v>
      </c>
      <c r="M787" s="6"/>
      <c r="N787" s="7"/>
      <c r="O787" s="7" t="e">
        <f t="shared" si="13"/>
        <v>#DIV/0!</v>
      </c>
    </row>
    <row r="788" spans="1:15" x14ac:dyDescent="0.4">
      <c r="A788" s="1">
        <v>787</v>
      </c>
      <c r="D788" s="2"/>
      <c r="J788" s="2" t="s">
        <v>19</v>
      </c>
      <c r="K788" s="1" t="s">
        <v>20</v>
      </c>
      <c r="M788" s="6"/>
      <c r="N788" s="7"/>
      <c r="O788" s="7" t="e">
        <f t="shared" si="13"/>
        <v>#DIV/0!</v>
      </c>
    </row>
    <row r="789" spans="1:15" x14ac:dyDescent="0.4">
      <c r="A789" s="1">
        <v>788</v>
      </c>
      <c r="D789" s="2"/>
      <c r="J789" s="2" t="s">
        <v>19</v>
      </c>
      <c r="K789" s="1" t="s">
        <v>20</v>
      </c>
      <c r="M789" s="6"/>
      <c r="N789" s="7"/>
      <c r="O789" s="7" t="e">
        <f t="shared" si="13"/>
        <v>#DIV/0!</v>
      </c>
    </row>
    <row r="790" spans="1:15" x14ac:dyDescent="0.4">
      <c r="A790" s="1">
        <v>789</v>
      </c>
      <c r="D790" s="2"/>
      <c r="J790" s="2" t="s">
        <v>19</v>
      </c>
      <c r="K790" s="1" t="s">
        <v>20</v>
      </c>
      <c r="M790" s="6"/>
      <c r="N790" s="7"/>
      <c r="O790" s="7" t="e">
        <f t="shared" si="13"/>
        <v>#DIV/0!</v>
      </c>
    </row>
    <row r="791" spans="1:15" x14ac:dyDescent="0.4">
      <c r="A791" s="1">
        <v>790</v>
      </c>
      <c r="D791" s="2"/>
      <c r="J791" s="2" t="s">
        <v>19</v>
      </c>
      <c r="K791" s="1" t="s">
        <v>20</v>
      </c>
      <c r="M791" s="6"/>
      <c r="N791" s="7"/>
      <c r="O791" s="7" t="e">
        <f t="shared" si="13"/>
        <v>#DIV/0!</v>
      </c>
    </row>
    <row r="792" spans="1:15" x14ac:dyDescent="0.4">
      <c r="A792" s="1">
        <v>791</v>
      </c>
      <c r="D792" s="2"/>
      <c r="J792" s="2" t="s">
        <v>19</v>
      </c>
      <c r="K792" s="1" t="s">
        <v>20</v>
      </c>
      <c r="M792" s="6"/>
      <c r="N792" s="7"/>
      <c r="O792" s="7" t="e">
        <f t="shared" si="13"/>
        <v>#DIV/0!</v>
      </c>
    </row>
    <row r="793" spans="1:15" x14ac:dyDescent="0.4">
      <c r="A793" s="1">
        <v>792</v>
      </c>
      <c r="D793" s="2"/>
      <c r="J793" s="2" t="s">
        <v>19</v>
      </c>
      <c r="K793" s="1" t="s">
        <v>20</v>
      </c>
      <c r="M793" s="6"/>
      <c r="N793" s="7"/>
      <c r="O793" s="7" t="e">
        <f t="shared" si="13"/>
        <v>#DIV/0!</v>
      </c>
    </row>
    <row r="794" spans="1:15" x14ac:dyDescent="0.4">
      <c r="A794" s="1">
        <v>793</v>
      </c>
      <c r="D794" s="2"/>
      <c r="J794" s="2" t="s">
        <v>19</v>
      </c>
      <c r="K794" s="1" t="s">
        <v>20</v>
      </c>
      <c r="M794" s="6"/>
      <c r="N794" s="7"/>
      <c r="O794" s="7" t="e">
        <f t="shared" si="13"/>
        <v>#DIV/0!</v>
      </c>
    </row>
    <row r="795" spans="1:15" x14ac:dyDescent="0.4">
      <c r="A795" s="1">
        <v>794</v>
      </c>
      <c r="D795" s="2"/>
      <c r="J795" s="2" t="s">
        <v>19</v>
      </c>
      <c r="K795" s="1" t="s">
        <v>20</v>
      </c>
      <c r="M795" s="6"/>
      <c r="N795" s="7"/>
      <c r="O795" s="7" t="e">
        <f t="shared" si="13"/>
        <v>#DIV/0!</v>
      </c>
    </row>
    <row r="796" spans="1:15" x14ac:dyDescent="0.4">
      <c r="A796" s="1">
        <v>795</v>
      </c>
      <c r="D796" s="2"/>
      <c r="J796" s="2" t="s">
        <v>19</v>
      </c>
      <c r="K796" s="1" t="s">
        <v>20</v>
      </c>
      <c r="M796" s="6"/>
      <c r="N796" s="7"/>
      <c r="O796" s="7" t="e">
        <f t="shared" si="13"/>
        <v>#DIV/0!</v>
      </c>
    </row>
    <row r="797" spans="1:15" x14ac:dyDescent="0.4">
      <c r="A797" s="1">
        <v>796</v>
      </c>
      <c r="D797" s="2"/>
      <c r="J797" s="2" t="s">
        <v>19</v>
      </c>
      <c r="K797" s="1" t="s">
        <v>20</v>
      </c>
      <c r="M797" s="6"/>
      <c r="N797" s="7"/>
      <c r="O797" s="7" t="e">
        <f t="shared" si="13"/>
        <v>#DIV/0!</v>
      </c>
    </row>
    <row r="798" spans="1:15" x14ac:dyDescent="0.4">
      <c r="A798" s="1">
        <v>797</v>
      </c>
      <c r="D798" s="2"/>
      <c r="J798" s="2" t="s">
        <v>19</v>
      </c>
      <c r="K798" s="1" t="s">
        <v>20</v>
      </c>
      <c r="M798" s="6"/>
      <c r="N798" s="7"/>
      <c r="O798" s="7" t="e">
        <f t="shared" si="13"/>
        <v>#DIV/0!</v>
      </c>
    </row>
    <row r="799" spans="1:15" x14ac:dyDescent="0.4">
      <c r="A799" s="1">
        <v>798</v>
      </c>
      <c r="D799" s="2"/>
      <c r="J799" s="2" t="s">
        <v>19</v>
      </c>
      <c r="K799" s="1" t="s">
        <v>20</v>
      </c>
      <c r="M799" s="6"/>
      <c r="N799" s="7"/>
      <c r="O799" s="7" t="e">
        <f t="shared" si="13"/>
        <v>#DIV/0!</v>
      </c>
    </row>
    <row r="800" spans="1:15" x14ac:dyDescent="0.4">
      <c r="A800" s="1">
        <v>799</v>
      </c>
      <c r="D800" s="2"/>
      <c r="J800" s="2" t="s">
        <v>19</v>
      </c>
      <c r="K800" s="1" t="s">
        <v>20</v>
      </c>
      <c r="M800" s="6"/>
      <c r="N800" s="7"/>
      <c r="O800" s="7" t="e">
        <f t="shared" si="13"/>
        <v>#DIV/0!</v>
      </c>
    </row>
    <row r="801" spans="1:15" x14ac:dyDescent="0.4">
      <c r="A801" s="1">
        <v>800</v>
      </c>
      <c r="D801" s="2"/>
      <c r="J801" s="2" t="s">
        <v>19</v>
      </c>
      <c r="K801" s="1" t="s">
        <v>20</v>
      </c>
      <c r="M801" s="6"/>
      <c r="N801" s="7"/>
      <c r="O801" s="7" t="e">
        <f t="shared" si="13"/>
        <v>#DIV/0!</v>
      </c>
    </row>
    <row r="802" spans="1:15" x14ac:dyDescent="0.4">
      <c r="A802" s="1">
        <v>801</v>
      </c>
      <c r="D802" s="2"/>
      <c r="J802" s="2" t="s">
        <v>19</v>
      </c>
      <c r="K802" s="1" t="s">
        <v>20</v>
      </c>
      <c r="M802" s="6"/>
      <c r="N802" s="7"/>
      <c r="O802" s="7" t="e">
        <f t="shared" si="13"/>
        <v>#DIV/0!</v>
      </c>
    </row>
    <row r="803" spans="1:15" x14ac:dyDescent="0.4">
      <c r="A803" s="1">
        <v>802</v>
      </c>
      <c r="D803" s="2"/>
      <c r="J803" s="2" t="s">
        <v>19</v>
      </c>
      <c r="K803" s="1" t="s">
        <v>20</v>
      </c>
      <c r="M803" s="6"/>
      <c r="N803" s="7"/>
      <c r="O803" s="7" t="e">
        <f t="shared" si="13"/>
        <v>#DIV/0!</v>
      </c>
    </row>
    <row r="804" spans="1:15" x14ac:dyDescent="0.4">
      <c r="A804" s="1">
        <v>803</v>
      </c>
      <c r="D804" s="2"/>
      <c r="J804" s="2" t="s">
        <v>19</v>
      </c>
      <c r="K804" s="1" t="s">
        <v>20</v>
      </c>
      <c r="M804" s="6"/>
      <c r="N804" s="7"/>
      <c r="O804" s="7" t="e">
        <f t="shared" si="13"/>
        <v>#DIV/0!</v>
      </c>
    </row>
    <row r="805" spans="1:15" x14ac:dyDescent="0.4">
      <c r="A805" s="1">
        <v>804</v>
      </c>
      <c r="D805" s="2"/>
      <c r="J805" s="2" t="s">
        <v>19</v>
      </c>
      <c r="K805" s="1" t="s">
        <v>20</v>
      </c>
      <c r="M805" s="6"/>
      <c r="N805" s="7"/>
      <c r="O805" s="7" t="e">
        <f t="shared" si="13"/>
        <v>#DIV/0!</v>
      </c>
    </row>
    <row r="806" spans="1:15" x14ac:dyDescent="0.4">
      <c r="A806" s="1">
        <v>805</v>
      </c>
      <c r="D806" s="2"/>
      <c r="J806" s="2" t="s">
        <v>19</v>
      </c>
      <c r="K806" s="1" t="s">
        <v>20</v>
      </c>
      <c r="M806" s="6"/>
      <c r="N806" s="7"/>
      <c r="O806" s="7" t="e">
        <f t="shared" si="13"/>
        <v>#DIV/0!</v>
      </c>
    </row>
    <row r="807" spans="1:15" x14ac:dyDescent="0.4">
      <c r="A807" s="1">
        <v>806</v>
      </c>
      <c r="D807" s="2"/>
      <c r="J807" s="2" t="s">
        <v>19</v>
      </c>
      <c r="K807" s="1" t="s">
        <v>20</v>
      </c>
      <c r="M807" s="6"/>
      <c r="N807" s="7"/>
      <c r="O807" s="7" t="e">
        <f t="shared" si="13"/>
        <v>#DIV/0!</v>
      </c>
    </row>
    <row r="808" spans="1:15" x14ac:dyDescent="0.4">
      <c r="A808" s="1">
        <v>807</v>
      </c>
      <c r="D808" s="2"/>
      <c r="J808" s="2" t="s">
        <v>19</v>
      </c>
      <c r="K808" s="1" t="s">
        <v>20</v>
      </c>
      <c r="M808" s="6"/>
      <c r="N808" s="7"/>
      <c r="O808" s="7" t="e">
        <f t="shared" si="13"/>
        <v>#DIV/0!</v>
      </c>
    </row>
    <row r="809" spans="1:15" x14ac:dyDescent="0.4">
      <c r="A809" s="1">
        <v>808</v>
      </c>
      <c r="D809" s="2"/>
      <c r="J809" s="2" t="s">
        <v>19</v>
      </c>
      <c r="K809" s="1" t="s">
        <v>20</v>
      </c>
      <c r="M809" s="6"/>
      <c r="N809" s="7"/>
      <c r="O809" s="7" t="e">
        <f t="shared" si="13"/>
        <v>#DIV/0!</v>
      </c>
    </row>
    <row r="810" spans="1:15" x14ac:dyDescent="0.4">
      <c r="A810" s="1">
        <v>809</v>
      </c>
      <c r="D810" s="2"/>
      <c r="J810" s="2" t="s">
        <v>19</v>
      </c>
      <c r="K810" s="1" t="s">
        <v>20</v>
      </c>
      <c r="M810" s="6"/>
      <c r="N810" s="7"/>
      <c r="O810" s="7" t="e">
        <f t="shared" si="13"/>
        <v>#DIV/0!</v>
      </c>
    </row>
    <row r="811" spans="1:15" x14ac:dyDescent="0.4">
      <c r="A811" s="1">
        <v>810</v>
      </c>
      <c r="D811" s="2"/>
      <c r="J811" s="2" t="s">
        <v>19</v>
      </c>
      <c r="K811" s="1" t="s">
        <v>20</v>
      </c>
      <c r="M811" s="6"/>
      <c r="N811" s="7"/>
      <c r="O811" s="7" t="e">
        <f t="shared" si="13"/>
        <v>#DIV/0!</v>
      </c>
    </row>
    <row r="812" spans="1:15" x14ac:dyDescent="0.4">
      <c r="A812" s="1">
        <v>811</v>
      </c>
      <c r="D812" s="2"/>
      <c r="J812" s="2" t="s">
        <v>19</v>
      </c>
      <c r="K812" s="1" t="s">
        <v>20</v>
      </c>
      <c r="M812" s="6"/>
      <c r="N812" s="7"/>
      <c r="O812" s="7" t="e">
        <f t="shared" si="13"/>
        <v>#DIV/0!</v>
      </c>
    </row>
    <row r="813" spans="1:15" x14ac:dyDescent="0.4">
      <c r="A813" s="1">
        <v>812</v>
      </c>
      <c r="D813" s="2"/>
      <c r="J813" s="2" t="s">
        <v>19</v>
      </c>
      <c r="K813" s="1" t="s">
        <v>20</v>
      </c>
      <c r="M813" s="6"/>
      <c r="N813" s="7"/>
      <c r="O813" s="7" t="e">
        <f t="shared" si="13"/>
        <v>#DIV/0!</v>
      </c>
    </row>
    <row r="814" spans="1:15" x14ac:dyDescent="0.4">
      <c r="A814" s="1">
        <v>813</v>
      </c>
      <c r="D814" s="2"/>
      <c r="J814" s="2" t="s">
        <v>19</v>
      </c>
      <c r="K814" s="1" t="s">
        <v>20</v>
      </c>
      <c r="M814" s="6"/>
      <c r="N814" s="7"/>
      <c r="O814" s="7" t="e">
        <f t="shared" si="13"/>
        <v>#DIV/0!</v>
      </c>
    </row>
    <row r="815" spans="1:15" x14ac:dyDescent="0.4">
      <c r="A815" s="1">
        <v>814</v>
      </c>
      <c r="D815" s="2"/>
      <c r="J815" s="2" t="s">
        <v>19</v>
      </c>
      <c r="K815" s="1" t="s">
        <v>20</v>
      </c>
      <c r="M815" s="6"/>
      <c r="N815" s="7"/>
      <c r="O815" s="7" t="e">
        <f t="shared" si="13"/>
        <v>#DIV/0!</v>
      </c>
    </row>
    <row r="816" spans="1:15" x14ac:dyDescent="0.4">
      <c r="A816" s="1">
        <v>815</v>
      </c>
      <c r="D816" s="2"/>
      <c r="J816" s="2" t="s">
        <v>19</v>
      </c>
      <c r="K816" s="1" t="s">
        <v>20</v>
      </c>
      <c r="M816" s="6"/>
      <c r="N816" s="7"/>
      <c r="O816" s="7" t="e">
        <f t="shared" si="13"/>
        <v>#DIV/0!</v>
      </c>
    </row>
    <row r="817" spans="1:15" x14ac:dyDescent="0.4">
      <c r="A817" s="1">
        <v>816</v>
      </c>
      <c r="D817" s="2"/>
      <c r="J817" s="2" t="s">
        <v>19</v>
      </c>
      <c r="K817" s="1" t="s">
        <v>20</v>
      </c>
      <c r="M817" s="6"/>
      <c r="N817" s="7"/>
      <c r="O817" s="7" t="e">
        <f t="shared" si="13"/>
        <v>#DIV/0!</v>
      </c>
    </row>
    <row r="818" spans="1:15" x14ac:dyDescent="0.4">
      <c r="A818" s="1">
        <v>817</v>
      </c>
      <c r="D818" s="2"/>
      <c r="J818" s="2" t="s">
        <v>19</v>
      </c>
      <c r="K818" s="1" t="s">
        <v>20</v>
      </c>
      <c r="M818" s="6"/>
      <c r="N818" s="7"/>
      <c r="O818" s="7" t="e">
        <f t="shared" si="13"/>
        <v>#DIV/0!</v>
      </c>
    </row>
    <row r="819" spans="1:15" x14ac:dyDescent="0.4">
      <c r="A819" s="1">
        <v>818</v>
      </c>
      <c r="D819" s="2"/>
      <c r="J819" s="2" t="s">
        <v>19</v>
      </c>
      <c r="K819" s="1" t="s">
        <v>20</v>
      </c>
      <c r="M819" s="6"/>
      <c r="N819" s="7"/>
      <c r="O819" s="7" t="e">
        <f t="shared" si="13"/>
        <v>#DIV/0!</v>
      </c>
    </row>
    <row r="820" spans="1:15" x14ac:dyDescent="0.4">
      <c r="A820" s="1">
        <v>819</v>
      </c>
      <c r="D820" s="2"/>
      <c r="J820" s="2" t="s">
        <v>19</v>
      </c>
      <c r="K820" s="1" t="s">
        <v>20</v>
      </c>
      <c r="M820" s="6"/>
      <c r="N820" s="7"/>
      <c r="O820" s="7" t="e">
        <f t="shared" si="13"/>
        <v>#DIV/0!</v>
      </c>
    </row>
    <row r="821" spans="1:15" x14ac:dyDescent="0.4">
      <c r="A821" s="1">
        <v>820</v>
      </c>
      <c r="D821" s="2"/>
      <c r="J821" s="2" t="s">
        <v>19</v>
      </c>
      <c r="K821" s="1" t="s">
        <v>20</v>
      </c>
      <c r="M821" s="6"/>
      <c r="N821" s="7"/>
      <c r="O821" s="7" t="e">
        <f t="shared" si="13"/>
        <v>#DIV/0!</v>
      </c>
    </row>
    <row r="822" spans="1:15" x14ac:dyDescent="0.4">
      <c r="A822" s="1">
        <v>821</v>
      </c>
      <c r="D822" s="2"/>
      <c r="J822" s="2" t="s">
        <v>19</v>
      </c>
      <c r="K822" s="1" t="s">
        <v>20</v>
      </c>
      <c r="M822" s="6"/>
      <c r="N822" s="7"/>
      <c r="O822" s="7" t="e">
        <f t="shared" si="13"/>
        <v>#DIV/0!</v>
      </c>
    </row>
    <row r="823" spans="1:15" x14ac:dyDescent="0.4">
      <c r="A823" s="1">
        <v>822</v>
      </c>
      <c r="D823" s="2"/>
      <c r="J823" s="2" t="s">
        <v>19</v>
      </c>
      <c r="K823" s="1" t="s">
        <v>20</v>
      </c>
      <c r="M823" s="6"/>
      <c r="N823" s="7"/>
      <c r="O823" s="7" t="e">
        <f t="shared" si="13"/>
        <v>#DIV/0!</v>
      </c>
    </row>
    <row r="824" spans="1:15" x14ac:dyDescent="0.4">
      <c r="A824" s="1">
        <v>823</v>
      </c>
      <c r="D824" s="2"/>
      <c r="J824" s="2" t="s">
        <v>19</v>
      </c>
      <c r="K824" s="1" t="s">
        <v>20</v>
      </c>
      <c r="M824" s="6"/>
      <c r="N824" s="7"/>
      <c r="O824" s="7" t="e">
        <f t="shared" si="13"/>
        <v>#DIV/0!</v>
      </c>
    </row>
    <row r="825" spans="1:15" x14ac:dyDescent="0.4">
      <c r="A825" s="1">
        <v>824</v>
      </c>
      <c r="D825" s="2"/>
      <c r="J825" s="2" t="s">
        <v>19</v>
      </c>
      <c r="K825" s="1" t="s">
        <v>20</v>
      </c>
      <c r="M825" s="6"/>
      <c r="N825" s="7"/>
      <c r="O825" s="7" t="e">
        <f t="shared" si="13"/>
        <v>#DIV/0!</v>
      </c>
    </row>
    <row r="826" spans="1:15" x14ac:dyDescent="0.4">
      <c r="A826" s="1">
        <v>825</v>
      </c>
      <c r="D826" s="2"/>
      <c r="J826" s="2" t="s">
        <v>19</v>
      </c>
      <c r="K826" s="1" t="s">
        <v>20</v>
      </c>
      <c r="M826" s="6"/>
      <c r="N826" s="7"/>
      <c r="O826" s="7" t="e">
        <f t="shared" si="13"/>
        <v>#DIV/0!</v>
      </c>
    </row>
    <row r="827" spans="1:15" x14ac:dyDescent="0.4">
      <c r="A827" s="1">
        <v>826</v>
      </c>
      <c r="D827" s="2"/>
      <c r="J827" s="2" t="s">
        <v>19</v>
      </c>
      <c r="K827" s="1" t="s">
        <v>20</v>
      </c>
      <c r="M827" s="6"/>
      <c r="N827" s="7"/>
      <c r="O827" s="7" t="e">
        <f t="shared" si="13"/>
        <v>#DIV/0!</v>
      </c>
    </row>
    <row r="828" spans="1:15" x14ac:dyDescent="0.4">
      <c r="A828" s="1">
        <v>827</v>
      </c>
      <c r="D828" s="2"/>
      <c r="J828" s="2" t="s">
        <v>19</v>
      </c>
      <c r="K828" s="1" t="s">
        <v>20</v>
      </c>
      <c r="M828" s="6"/>
      <c r="N828" s="7"/>
      <c r="O828" s="7" t="e">
        <f t="shared" si="13"/>
        <v>#DIV/0!</v>
      </c>
    </row>
    <row r="829" spans="1:15" x14ac:dyDescent="0.4">
      <c r="A829" s="1">
        <v>828</v>
      </c>
      <c r="D829" s="2"/>
      <c r="J829" s="2" t="s">
        <v>19</v>
      </c>
      <c r="K829" s="1" t="s">
        <v>20</v>
      </c>
      <c r="M829" s="6"/>
      <c r="N829" s="7"/>
      <c r="O829" s="7" t="e">
        <f t="shared" si="13"/>
        <v>#DIV/0!</v>
      </c>
    </row>
    <row r="830" spans="1:15" x14ac:dyDescent="0.4">
      <c r="A830" s="1">
        <v>829</v>
      </c>
      <c r="D830" s="2"/>
      <c r="J830" s="2" t="s">
        <v>19</v>
      </c>
      <c r="K830" s="1" t="s">
        <v>20</v>
      </c>
      <c r="M830" s="6"/>
      <c r="N830" s="7"/>
      <c r="O830" s="7" t="e">
        <f t="shared" si="13"/>
        <v>#DIV/0!</v>
      </c>
    </row>
    <row r="831" spans="1:15" x14ac:dyDescent="0.4">
      <c r="A831" s="1">
        <v>830</v>
      </c>
      <c r="D831" s="2"/>
      <c r="J831" s="2" t="s">
        <v>19</v>
      </c>
      <c r="K831" s="1" t="s">
        <v>20</v>
      </c>
      <c r="M831" s="6"/>
      <c r="N831" s="7"/>
      <c r="O831" s="7" t="e">
        <f t="shared" si="13"/>
        <v>#DIV/0!</v>
      </c>
    </row>
    <row r="832" spans="1:15" x14ac:dyDescent="0.4">
      <c r="A832" s="1">
        <v>831</v>
      </c>
      <c r="D832" s="2"/>
      <c r="J832" s="2" t="s">
        <v>19</v>
      </c>
      <c r="K832" s="1" t="s">
        <v>20</v>
      </c>
      <c r="M832" s="6"/>
      <c r="N832" s="7"/>
      <c r="O832" s="7" t="e">
        <f t="shared" si="13"/>
        <v>#DIV/0!</v>
      </c>
    </row>
    <row r="833" spans="1:15" x14ac:dyDescent="0.4">
      <c r="A833" s="1">
        <v>832</v>
      </c>
      <c r="D833" s="2"/>
      <c r="J833" s="2" t="s">
        <v>19</v>
      </c>
      <c r="K833" s="1" t="s">
        <v>20</v>
      </c>
      <c r="M833" s="6"/>
      <c r="N833" s="7"/>
      <c r="O833" s="7" t="e">
        <f t="shared" si="13"/>
        <v>#DIV/0!</v>
      </c>
    </row>
    <row r="834" spans="1:15" x14ac:dyDescent="0.4">
      <c r="A834" s="1">
        <v>833</v>
      </c>
      <c r="D834" s="2"/>
      <c r="J834" s="2" t="s">
        <v>19</v>
      </c>
      <c r="K834" s="1" t="s">
        <v>20</v>
      </c>
      <c r="M834" s="6"/>
      <c r="N834" s="7"/>
      <c r="O834" s="7" t="e">
        <f t="shared" ref="O834:O897" si="14">N834/M834</f>
        <v>#DIV/0!</v>
      </c>
    </row>
    <row r="835" spans="1:15" x14ac:dyDescent="0.4">
      <c r="A835" s="1">
        <v>834</v>
      </c>
      <c r="D835" s="2"/>
      <c r="J835" s="2" t="s">
        <v>19</v>
      </c>
      <c r="K835" s="1" t="s">
        <v>20</v>
      </c>
      <c r="M835" s="6"/>
      <c r="N835" s="7"/>
      <c r="O835" s="7" t="e">
        <f t="shared" si="14"/>
        <v>#DIV/0!</v>
      </c>
    </row>
    <row r="836" spans="1:15" x14ac:dyDescent="0.4">
      <c r="A836" s="1">
        <v>835</v>
      </c>
      <c r="D836" s="2"/>
      <c r="J836" s="2" t="s">
        <v>19</v>
      </c>
      <c r="K836" s="1" t="s">
        <v>20</v>
      </c>
      <c r="M836" s="6"/>
      <c r="N836" s="7"/>
      <c r="O836" s="7" t="e">
        <f t="shared" si="14"/>
        <v>#DIV/0!</v>
      </c>
    </row>
    <row r="837" spans="1:15" x14ac:dyDescent="0.4">
      <c r="A837" s="1">
        <v>836</v>
      </c>
      <c r="D837" s="2"/>
      <c r="J837" s="2" t="s">
        <v>19</v>
      </c>
      <c r="K837" s="1" t="s">
        <v>20</v>
      </c>
      <c r="M837" s="6"/>
      <c r="N837" s="7"/>
      <c r="O837" s="7" t="e">
        <f t="shared" si="14"/>
        <v>#DIV/0!</v>
      </c>
    </row>
    <row r="838" spans="1:15" x14ac:dyDescent="0.4">
      <c r="A838" s="1">
        <v>837</v>
      </c>
      <c r="D838" s="2"/>
      <c r="J838" s="2" t="s">
        <v>19</v>
      </c>
      <c r="K838" s="1" t="s">
        <v>20</v>
      </c>
      <c r="M838" s="6"/>
      <c r="N838" s="7"/>
      <c r="O838" s="7" t="e">
        <f t="shared" si="14"/>
        <v>#DIV/0!</v>
      </c>
    </row>
    <row r="839" spans="1:15" x14ac:dyDescent="0.4">
      <c r="A839" s="1">
        <v>838</v>
      </c>
      <c r="D839" s="2"/>
      <c r="J839" s="2" t="s">
        <v>19</v>
      </c>
      <c r="K839" s="1" t="s">
        <v>20</v>
      </c>
      <c r="M839" s="6"/>
      <c r="N839" s="7"/>
      <c r="O839" s="7" t="e">
        <f t="shared" si="14"/>
        <v>#DIV/0!</v>
      </c>
    </row>
    <row r="840" spans="1:15" x14ac:dyDescent="0.4">
      <c r="A840" s="1">
        <v>839</v>
      </c>
      <c r="D840" s="2"/>
      <c r="J840" s="2" t="s">
        <v>19</v>
      </c>
      <c r="K840" s="1" t="s">
        <v>20</v>
      </c>
      <c r="M840" s="6"/>
      <c r="N840" s="7"/>
      <c r="O840" s="7" t="e">
        <f t="shared" si="14"/>
        <v>#DIV/0!</v>
      </c>
    </row>
    <row r="841" spans="1:15" x14ac:dyDescent="0.4">
      <c r="A841" s="1">
        <v>840</v>
      </c>
      <c r="D841" s="2"/>
      <c r="J841" s="2" t="s">
        <v>19</v>
      </c>
      <c r="K841" s="1" t="s">
        <v>20</v>
      </c>
      <c r="M841" s="6"/>
      <c r="N841" s="7"/>
      <c r="O841" s="7" t="e">
        <f t="shared" si="14"/>
        <v>#DIV/0!</v>
      </c>
    </row>
    <row r="842" spans="1:15" x14ac:dyDescent="0.4">
      <c r="A842" s="1">
        <v>841</v>
      </c>
      <c r="D842" s="2"/>
      <c r="J842" s="2" t="s">
        <v>19</v>
      </c>
      <c r="K842" s="1" t="s">
        <v>20</v>
      </c>
      <c r="M842" s="6"/>
      <c r="N842" s="7"/>
      <c r="O842" s="7" t="e">
        <f t="shared" si="14"/>
        <v>#DIV/0!</v>
      </c>
    </row>
    <row r="843" spans="1:15" x14ac:dyDescent="0.4">
      <c r="A843" s="1">
        <v>842</v>
      </c>
      <c r="D843" s="2"/>
      <c r="J843" s="2" t="s">
        <v>19</v>
      </c>
      <c r="K843" s="1" t="s">
        <v>20</v>
      </c>
      <c r="M843" s="6"/>
      <c r="N843" s="7"/>
      <c r="O843" s="7" t="e">
        <f t="shared" si="14"/>
        <v>#DIV/0!</v>
      </c>
    </row>
    <row r="844" spans="1:15" x14ac:dyDescent="0.4">
      <c r="A844" s="1">
        <v>843</v>
      </c>
      <c r="D844" s="2"/>
      <c r="J844" s="2" t="s">
        <v>19</v>
      </c>
      <c r="K844" s="1" t="s">
        <v>20</v>
      </c>
      <c r="M844" s="6"/>
      <c r="N844" s="7"/>
      <c r="O844" s="7" t="e">
        <f t="shared" si="14"/>
        <v>#DIV/0!</v>
      </c>
    </row>
    <row r="845" spans="1:15" x14ac:dyDescent="0.4">
      <c r="A845" s="1">
        <v>844</v>
      </c>
      <c r="D845" s="2"/>
      <c r="J845" s="2" t="s">
        <v>19</v>
      </c>
      <c r="K845" s="1" t="s">
        <v>20</v>
      </c>
      <c r="M845" s="6"/>
      <c r="N845" s="7"/>
      <c r="O845" s="7" t="e">
        <f t="shared" si="14"/>
        <v>#DIV/0!</v>
      </c>
    </row>
    <row r="846" spans="1:15" x14ac:dyDescent="0.4">
      <c r="A846" s="1">
        <v>845</v>
      </c>
      <c r="D846" s="2"/>
      <c r="J846" s="2" t="s">
        <v>19</v>
      </c>
      <c r="K846" s="1" t="s">
        <v>20</v>
      </c>
      <c r="M846" s="6"/>
      <c r="N846" s="7"/>
      <c r="O846" s="7" t="e">
        <f t="shared" si="14"/>
        <v>#DIV/0!</v>
      </c>
    </row>
    <row r="847" spans="1:15" x14ac:dyDescent="0.4">
      <c r="A847" s="1">
        <v>846</v>
      </c>
      <c r="D847" s="2"/>
      <c r="J847" s="2" t="s">
        <v>19</v>
      </c>
      <c r="K847" s="1" t="s">
        <v>20</v>
      </c>
      <c r="M847" s="6"/>
      <c r="N847" s="7"/>
      <c r="O847" s="7" t="e">
        <f t="shared" si="14"/>
        <v>#DIV/0!</v>
      </c>
    </row>
    <row r="848" spans="1:15" x14ac:dyDescent="0.4">
      <c r="A848" s="1">
        <v>847</v>
      </c>
      <c r="D848" s="2"/>
      <c r="J848" s="2" t="s">
        <v>19</v>
      </c>
      <c r="K848" s="1" t="s">
        <v>20</v>
      </c>
      <c r="M848" s="6"/>
      <c r="N848" s="7"/>
      <c r="O848" s="7" t="e">
        <f t="shared" si="14"/>
        <v>#DIV/0!</v>
      </c>
    </row>
    <row r="849" spans="1:15" x14ac:dyDescent="0.4">
      <c r="A849" s="1">
        <v>848</v>
      </c>
      <c r="D849" s="2"/>
      <c r="J849" s="2" t="s">
        <v>19</v>
      </c>
      <c r="K849" s="1" t="s">
        <v>20</v>
      </c>
      <c r="M849" s="6"/>
      <c r="N849" s="7"/>
      <c r="O849" s="7" t="e">
        <f t="shared" si="14"/>
        <v>#DIV/0!</v>
      </c>
    </row>
    <row r="850" spans="1:15" x14ac:dyDescent="0.4">
      <c r="A850" s="1">
        <v>849</v>
      </c>
      <c r="D850" s="2"/>
      <c r="J850" s="2" t="s">
        <v>19</v>
      </c>
      <c r="K850" s="1" t="s">
        <v>20</v>
      </c>
      <c r="M850" s="6"/>
      <c r="N850" s="7"/>
      <c r="O850" s="7" t="e">
        <f t="shared" si="14"/>
        <v>#DIV/0!</v>
      </c>
    </row>
    <row r="851" spans="1:15" x14ac:dyDescent="0.4">
      <c r="A851" s="1">
        <v>850</v>
      </c>
      <c r="D851" s="2"/>
      <c r="J851" s="2" t="s">
        <v>19</v>
      </c>
      <c r="K851" s="1" t="s">
        <v>20</v>
      </c>
      <c r="M851" s="6"/>
      <c r="N851" s="7"/>
      <c r="O851" s="7" t="e">
        <f t="shared" si="14"/>
        <v>#DIV/0!</v>
      </c>
    </row>
    <row r="852" spans="1:15" x14ac:dyDescent="0.4">
      <c r="A852" s="1">
        <v>851</v>
      </c>
      <c r="D852" s="2"/>
      <c r="J852" s="2" t="s">
        <v>19</v>
      </c>
      <c r="K852" s="1" t="s">
        <v>20</v>
      </c>
      <c r="M852" s="6"/>
      <c r="N852" s="7"/>
      <c r="O852" s="7" t="e">
        <f t="shared" si="14"/>
        <v>#DIV/0!</v>
      </c>
    </row>
    <row r="853" spans="1:15" x14ac:dyDescent="0.4">
      <c r="A853" s="1">
        <v>852</v>
      </c>
      <c r="D853" s="2"/>
      <c r="J853" s="2" t="s">
        <v>19</v>
      </c>
      <c r="K853" s="1" t="s">
        <v>20</v>
      </c>
      <c r="M853" s="6"/>
      <c r="N853" s="7"/>
      <c r="O853" s="7" t="e">
        <f t="shared" si="14"/>
        <v>#DIV/0!</v>
      </c>
    </row>
    <row r="854" spans="1:15" x14ac:dyDescent="0.4">
      <c r="A854" s="1">
        <v>853</v>
      </c>
      <c r="D854" s="2"/>
      <c r="J854" s="2" t="s">
        <v>19</v>
      </c>
      <c r="K854" s="1" t="s">
        <v>20</v>
      </c>
      <c r="M854" s="6"/>
      <c r="N854" s="7"/>
      <c r="O854" s="7" t="e">
        <f t="shared" si="14"/>
        <v>#DIV/0!</v>
      </c>
    </row>
    <row r="855" spans="1:15" x14ac:dyDescent="0.4">
      <c r="A855" s="1">
        <v>854</v>
      </c>
      <c r="D855" s="2"/>
      <c r="J855" s="2" t="s">
        <v>19</v>
      </c>
      <c r="K855" s="1" t="s">
        <v>20</v>
      </c>
      <c r="M855" s="6"/>
      <c r="N855" s="7"/>
      <c r="O855" s="7" t="e">
        <f t="shared" si="14"/>
        <v>#DIV/0!</v>
      </c>
    </row>
    <row r="856" spans="1:15" x14ac:dyDescent="0.4">
      <c r="A856" s="1">
        <v>855</v>
      </c>
      <c r="D856" s="2"/>
      <c r="J856" s="2" t="s">
        <v>19</v>
      </c>
      <c r="K856" s="1" t="s">
        <v>20</v>
      </c>
      <c r="M856" s="6"/>
      <c r="N856" s="7"/>
      <c r="O856" s="7" t="e">
        <f t="shared" si="14"/>
        <v>#DIV/0!</v>
      </c>
    </row>
    <row r="857" spans="1:15" x14ac:dyDescent="0.4">
      <c r="A857" s="1">
        <v>856</v>
      </c>
      <c r="D857" s="2"/>
      <c r="J857" s="2" t="s">
        <v>19</v>
      </c>
      <c r="K857" s="1" t="s">
        <v>20</v>
      </c>
      <c r="M857" s="6"/>
      <c r="N857" s="7"/>
      <c r="O857" s="7" t="e">
        <f t="shared" si="14"/>
        <v>#DIV/0!</v>
      </c>
    </row>
    <row r="858" spans="1:15" x14ac:dyDescent="0.4">
      <c r="A858" s="1">
        <v>857</v>
      </c>
      <c r="D858" s="2"/>
      <c r="J858" s="2" t="s">
        <v>19</v>
      </c>
      <c r="K858" s="1" t="s">
        <v>20</v>
      </c>
      <c r="M858" s="6"/>
      <c r="N858" s="7"/>
      <c r="O858" s="7" t="e">
        <f t="shared" si="14"/>
        <v>#DIV/0!</v>
      </c>
    </row>
    <row r="859" spans="1:15" x14ac:dyDescent="0.4">
      <c r="A859" s="1">
        <v>858</v>
      </c>
      <c r="D859" s="2"/>
      <c r="J859" s="2" t="s">
        <v>19</v>
      </c>
      <c r="K859" s="1" t="s">
        <v>20</v>
      </c>
      <c r="M859" s="6"/>
      <c r="N859" s="7"/>
      <c r="O859" s="7" t="e">
        <f t="shared" si="14"/>
        <v>#DIV/0!</v>
      </c>
    </row>
    <row r="860" spans="1:15" x14ac:dyDescent="0.4">
      <c r="A860" s="1">
        <v>859</v>
      </c>
      <c r="D860" s="2"/>
      <c r="J860" s="2" t="s">
        <v>19</v>
      </c>
      <c r="K860" s="1" t="s">
        <v>20</v>
      </c>
      <c r="M860" s="6"/>
      <c r="N860" s="7"/>
      <c r="O860" s="7" t="e">
        <f t="shared" si="14"/>
        <v>#DIV/0!</v>
      </c>
    </row>
    <row r="861" spans="1:15" x14ac:dyDescent="0.4">
      <c r="A861" s="1">
        <v>860</v>
      </c>
      <c r="D861" s="2"/>
      <c r="J861" s="2" t="s">
        <v>19</v>
      </c>
      <c r="K861" s="1" t="s">
        <v>20</v>
      </c>
      <c r="M861" s="6"/>
      <c r="N861" s="7"/>
      <c r="O861" s="7" t="e">
        <f t="shared" si="14"/>
        <v>#DIV/0!</v>
      </c>
    </row>
    <row r="862" spans="1:15" x14ac:dyDescent="0.4">
      <c r="A862" s="1">
        <v>861</v>
      </c>
      <c r="D862" s="2"/>
      <c r="J862" s="2" t="s">
        <v>19</v>
      </c>
      <c r="K862" s="1" t="s">
        <v>20</v>
      </c>
      <c r="M862" s="6"/>
      <c r="N862" s="7"/>
      <c r="O862" s="7" t="e">
        <f t="shared" si="14"/>
        <v>#DIV/0!</v>
      </c>
    </row>
    <row r="863" spans="1:15" x14ac:dyDescent="0.4">
      <c r="A863" s="1">
        <v>862</v>
      </c>
      <c r="D863" s="2"/>
      <c r="J863" s="2" t="s">
        <v>19</v>
      </c>
      <c r="K863" s="1" t="s">
        <v>20</v>
      </c>
      <c r="M863" s="6"/>
      <c r="N863" s="7"/>
      <c r="O863" s="7" t="e">
        <f t="shared" si="14"/>
        <v>#DIV/0!</v>
      </c>
    </row>
    <row r="864" spans="1:15" x14ac:dyDescent="0.4">
      <c r="A864" s="1">
        <v>863</v>
      </c>
      <c r="D864" s="2"/>
      <c r="J864" s="2" t="s">
        <v>19</v>
      </c>
      <c r="K864" s="1" t="s">
        <v>20</v>
      </c>
      <c r="M864" s="6"/>
      <c r="N864" s="7"/>
      <c r="O864" s="7" t="e">
        <f t="shared" si="14"/>
        <v>#DIV/0!</v>
      </c>
    </row>
    <row r="865" spans="1:15" x14ac:dyDescent="0.4">
      <c r="A865" s="1">
        <v>864</v>
      </c>
      <c r="D865" s="2"/>
      <c r="J865" s="2" t="s">
        <v>19</v>
      </c>
      <c r="K865" s="1" t="s">
        <v>20</v>
      </c>
      <c r="M865" s="6"/>
      <c r="N865" s="7"/>
      <c r="O865" s="7" t="e">
        <f t="shared" si="14"/>
        <v>#DIV/0!</v>
      </c>
    </row>
    <row r="866" spans="1:15" x14ac:dyDescent="0.4">
      <c r="A866" s="1">
        <v>865</v>
      </c>
      <c r="D866" s="2"/>
      <c r="J866" s="2" t="s">
        <v>19</v>
      </c>
      <c r="K866" s="1" t="s">
        <v>20</v>
      </c>
      <c r="M866" s="6"/>
      <c r="N866" s="7"/>
      <c r="O866" s="7" t="e">
        <f t="shared" si="14"/>
        <v>#DIV/0!</v>
      </c>
    </row>
    <row r="867" spans="1:15" x14ac:dyDescent="0.4">
      <c r="A867" s="1">
        <v>866</v>
      </c>
      <c r="D867" s="2"/>
      <c r="J867" s="2" t="s">
        <v>19</v>
      </c>
      <c r="K867" s="1" t="s">
        <v>20</v>
      </c>
      <c r="M867" s="6"/>
      <c r="N867" s="7"/>
      <c r="O867" s="7" t="e">
        <f t="shared" si="14"/>
        <v>#DIV/0!</v>
      </c>
    </row>
    <row r="868" spans="1:15" x14ac:dyDescent="0.4">
      <c r="A868" s="1">
        <v>867</v>
      </c>
      <c r="D868" s="2"/>
      <c r="J868" s="2" t="s">
        <v>19</v>
      </c>
      <c r="K868" s="1" t="s">
        <v>20</v>
      </c>
      <c r="M868" s="6"/>
      <c r="N868" s="7"/>
      <c r="O868" s="7" t="e">
        <f t="shared" si="14"/>
        <v>#DIV/0!</v>
      </c>
    </row>
    <row r="869" spans="1:15" x14ac:dyDescent="0.4">
      <c r="A869" s="1">
        <v>868</v>
      </c>
      <c r="D869" s="2"/>
      <c r="J869" s="2" t="s">
        <v>19</v>
      </c>
      <c r="K869" s="1" t="s">
        <v>20</v>
      </c>
      <c r="M869" s="6"/>
      <c r="N869" s="7"/>
      <c r="O869" s="7" t="e">
        <f t="shared" si="14"/>
        <v>#DIV/0!</v>
      </c>
    </row>
    <row r="870" spans="1:15" x14ac:dyDescent="0.4">
      <c r="A870" s="1">
        <v>869</v>
      </c>
      <c r="D870" s="2"/>
      <c r="J870" s="2" t="s">
        <v>19</v>
      </c>
      <c r="K870" s="1" t="s">
        <v>20</v>
      </c>
      <c r="M870" s="6"/>
      <c r="N870" s="7"/>
      <c r="O870" s="7" t="e">
        <f t="shared" si="14"/>
        <v>#DIV/0!</v>
      </c>
    </row>
    <row r="871" spans="1:15" x14ac:dyDescent="0.4">
      <c r="A871" s="1">
        <v>870</v>
      </c>
      <c r="D871" s="2"/>
      <c r="J871" s="2" t="s">
        <v>19</v>
      </c>
      <c r="K871" s="1" t="s">
        <v>20</v>
      </c>
      <c r="M871" s="6"/>
      <c r="N871" s="7"/>
      <c r="O871" s="7" t="e">
        <f t="shared" si="14"/>
        <v>#DIV/0!</v>
      </c>
    </row>
    <row r="872" spans="1:15" x14ac:dyDescent="0.4">
      <c r="A872" s="1">
        <v>871</v>
      </c>
      <c r="D872" s="2"/>
      <c r="J872" s="2" t="s">
        <v>19</v>
      </c>
      <c r="K872" s="1" t="s">
        <v>20</v>
      </c>
      <c r="M872" s="6"/>
      <c r="N872" s="7"/>
      <c r="O872" s="7" t="e">
        <f t="shared" si="14"/>
        <v>#DIV/0!</v>
      </c>
    </row>
    <row r="873" spans="1:15" x14ac:dyDescent="0.4">
      <c r="A873" s="1">
        <v>872</v>
      </c>
      <c r="D873" s="2"/>
      <c r="J873" s="2" t="s">
        <v>19</v>
      </c>
      <c r="K873" s="1" t="s">
        <v>20</v>
      </c>
      <c r="M873" s="6"/>
      <c r="N873" s="7"/>
      <c r="O873" s="7" t="e">
        <f t="shared" si="14"/>
        <v>#DIV/0!</v>
      </c>
    </row>
    <row r="874" spans="1:15" x14ac:dyDescent="0.4">
      <c r="A874" s="1">
        <v>873</v>
      </c>
      <c r="D874" s="2"/>
      <c r="J874" s="2" t="s">
        <v>19</v>
      </c>
      <c r="K874" s="1" t="s">
        <v>20</v>
      </c>
      <c r="M874" s="6"/>
      <c r="N874" s="7"/>
      <c r="O874" s="7" t="e">
        <f t="shared" si="14"/>
        <v>#DIV/0!</v>
      </c>
    </row>
    <row r="875" spans="1:15" x14ac:dyDescent="0.4">
      <c r="A875" s="1">
        <v>874</v>
      </c>
      <c r="D875" s="2"/>
      <c r="J875" s="2" t="s">
        <v>19</v>
      </c>
      <c r="K875" s="1" t="s">
        <v>20</v>
      </c>
      <c r="M875" s="6"/>
      <c r="N875" s="7"/>
      <c r="O875" s="7" t="e">
        <f t="shared" si="14"/>
        <v>#DIV/0!</v>
      </c>
    </row>
    <row r="876" spans="1:15" x14ac:dyDescent="0.4">
      <c r="A876" s="1">
        <v>875</v>
      </c>
      <c r="D876" s="2"/>
      <c r="J876" s="2" t="s">
        <v>19</v>
      </c>
      <c r="K876" s="1" t="s">
        <v>20</v>
      </c>
      <c r="M876" s="6"/>
      <c r="N876" s="7"/>
      <c r="O876" s="7" t="e">
        <f t="shared" si="14"/>
        <v>#DIV/0!</v>
      </c>
    </row>
    <row r="877" spans="1:15" x14ac:dyDescent="0.4">
      <c r="A877" s="1">
        <v>876</v>
      </c>
      <c r="D877" s="2"/>
      <c r="J877" s="2" t="s">
        <v>19</v>
      </c>
      <c r="K877" s="1" t="s">
        <v>20</v>
      </c>
      <c r="M877" s="6"/>
      <c r="N877" s="7"/>
      <c r="O877" s="7" t="e">
        <f t="shared" si="14"/>
        <v>#DIV/0!</v>
      </c>
    </row>
    <row r="878" spans="1:15" x14ac:dyDescent="0.4">
      <c r="A878" s="1">
        <v>877</v>
      </c>
      <c r="D878" s="2"/>
      <c r="J878" s="2" t="s">
        <v>19</v>
      </c>
      <c r="K878" s="1" t="s">
        <v>20</v>
      </c>
      <c r="M878" s="6"/>
      <c r="N878" s="7"/>
      <c r="O878" s="7" t="e">
        <f t="shared" si="14"/>
        <v>#DIV/0!</v>
      </c>
    </row>
    <row r="879" spans="1:15" x14ac:dyDescent="0.4">
      <c r="A879" s="1">
        <v>878</v>
      </c>
      <c r="D879" s="2"/>
      <c r="J879" s="2" t="s">
        <v>19</v>
      </c>
      <c r="K879" s="1" t="s">
        <v>20</v>
      </c>
      <c r="M879" s="6"/>
      <c r="N879" s="7"/>
      <c r="O879" s="7" t="e">
        <f t="shared" si="14"/>
        <v>#DIV/0!</v>
      </c>
    </row>
    <row r="880" spans="1:15" x14ac:dyDescent="0.4">
      <c r="A880" s="1">
        <v>879</v>
      </c>
      <c r="D880" s="2"/>
      <c r="J880" s="2" t="s">
        <v>19</v>
      </c>
      <c r="K880" s="1" t="s">
        <v>20</v>
      </c>
      <c r="M880" s="6"/>
      <c r="N880" s="7"/>
      <c r="O880" s="7" t="e">
        <f t="shared" si="14"/>
        <v>#DIV/0!</v>
      </c>
    </row>
    <row r="881" spans="1:15" x14ac:dyDescent="0.4">
      <c r="A881" s="1">
        <v>880</v>
      </c>
      <c r="D881" s="2"/>
      <c r="J881" s="2" t="s">
        <v>19</v>
      </c>
      <c r="K881" s="1" t="s">
        <v>20</v>
      </c>
      <c r="M881" s="6"/>
      <c r="N881" s="7"/>
      <c r="O881" s="7" t="e">
        <f t="shared" si="14"/>
        <v>#DIV/0!</v>
      </c>
    </row>
    <row r="882" spans="1:15" x14ac:dyDescent="0.4">
      <c r="A882" s="1">
        <v>881</v>
      </c>
      <c r="D882" s="2"/>
      <c r="J882" s="2" t="s">
        <v>19</v>
      </c>
      <c r="K882" s="1" t="s">
        <v>20</v>
      </c>
      <c r="M882" s="6"/>
      <c r="N882" s="7"/>
      <c r="O882" s="7" t="e">
        <f t="shared" si="14"/>
        <v>#DIV/0!</v>
      </c>
    </row>
    <row r="883" spans="1:15" x14ac:dyDescent="0.4">
      <c r="A883" s="1">
        <v>882</v>
      </c>
      <c r="D883" s="2"/>
      <c r="J883" s="2" t="s">
        <v>19</v>
      </c>
      <c r="K883" s="1" t="s">
        <v>20</v>
      </c>
      <c r="M883" s="6"/>
      <c r="N883" s="7"/>
      <c r="O883" s="7" t="e">
        <f t="shared" si="14"/>
        <v>#DIV/0!</v>
      </c>
    </row>
    <row r="884" spans="1:15" x14ac:dyDescent="0.4">
      <c r="A884" s="1">
        <v>883</v>
      </c>
      <c r="D884" s="2"/>
      <c r="J884" s="2" t="s">
        <v>19</v>
      </c>
      <c r="K884" s="1" t="s">
        <v>20</v>
      </c>
      <c r="M884" s="6"/>
      <c r="N884" s="7"/>
      <c r="O884" s="7" t="e">
        <f t="shared" si="14"/>
        <v>#DIV/0!</v>
      </c>
    </row>
    <row r="885" spans="1:15" x14ac:dyDescent="0.4">
      <c r="A885" s="1">
        <v>884</v>
      </c>
      <c r="D885" s="2"/>
      <c r="J885" s="2" t="s">
        <v>19</v>
      </c>
      <c r="K885" s="1" t="s">
        <v>20</v>
      </c>
      <c r="M885" s="6"/>
      <c r="N885" s="7"/>
      <c r="O885" s="7" t="e">
        <f t="shared" si="14"/>
        <v>#DIV/0!</v>
      </c>
    </row>
    <row r="886" spans="1:15" x14ac:dyDescent="0.4">
      <c r="A886" s="1">
        <v>885</v>
      </c>
      <c r="D886" s="2"/>
      <c r="J886" s="2" t="s">
        <v>19</v>
      </c>
      <c r="K886" s="1" t="s">
        <v>20</v>
      </c>
      <c r="M886" s="6"/>
      <c r="N886" s="7"/>
      <c r="O886" s="7" t="e">
        <f t="shared" si="14"/>
        <v>#DIV/0!</v>
      </c>
    </row>
    <row r="887" spans="1:15" x14ac:dyDescent="0.4">
      <c r="A887" s="1">
        <v>886</v>
      </c>
      <c r="D887" s="2"/>
      <c r="J887" s="2" t="s">
        <v>19</v>
      </c>
      <c r="K887" s="1" t="s">
        <v>20</v>
      </c>
      <c r="M887" s="6"/>
      <c r="N887" s="7"/>
      <c r="O887" s="7" t="e">
        <f t="shared" si="14"/>
        <v>#DIV/0!</v>
      </c>
    </row>
    <row r="888" spans="1:15" x14ac:dyDescent="0.4">
      <c r="A888" s="1">
        <v>887</v>
      </c>
      <c r="D888" s="2"/>
      <c r="J888" s="2" t="s">
        <v>19</v>
      </c>
      <c r="K888" s="1" t="s">
        <v>20</v>
      </c>
      <c r="M888" s="6"/>
      <c r="N888" s="7"/>
      <c r="O888" s="7" t="e">
        <f t="shared" si="14"/>
        <v>#DIV/0!</v>
      </c>
    </row>
    <row r="889" spans="1:15" x14ac:dyDescent="0.4">
      <c r="A889" s="1">
        <v>888</v>
      </c>
      <c r="D889" s="2"/>
      <c r="J889" s="2" t="s">
        <v>19</v>
      </c>
      <c r="K889" s="1" t="s">
        <v>20</v>
      </c>
      <c r="M889" s="6"/>
      <c r="N889" s="7"/>
      <c r="O889" s="7" t="e">
        <f t="shared" si="14"/>
        <v>#DIV/0!</v>
      </c>
    </row>
    <row r="890" spans="1:15" x14ac:dyDescent="0.4">
      <c r="A890" s="1">
        <v>889</v>
      </c>
      <c r="D890" s="2"/>
      <c r="J890" s="2" t="s">
        <v>19</v>
      </c>
      <c r="K890" s="1" t="s">
        <v>20</v>
      </c>
      <c r="M890" s="6"/>
      <c r="N890" s="7"/>
      <c r="O890" s="7" t="e">
        <f t="shared" si="14"/>
        <v>#DIV/0!</v>
      </c>
    </row>
    <row r="891" spans="1:15" x14ac:dyDescent="0.4">
      <c r="A891" s="1">
        <v>890</v>
      </c>
      <c r="D891" s="2"/>
      <c r="J891" s="2" t="s">
        <v>19</v>
      </c>
      <c r="K891" s="1" t="s">
        <v>20</v>
      </c>
      <c r="M891" s="6"/>
      <c r="N891" s="7"/>
      <c r="O891" s="7" t="e">
        <f t="shared" si="14"/>
        <v>#DIV/0!</v>
      </c>
    </row>
    <row r="892" spans="1:15" x14ac:dyDescent="0.4">
      <c r="A892" s="1">
        <v>891</v>
      </c>
      <c r="D892" s="2"/>
      <c r="J892" s="2" t="s">
        <v>19</v>
      </c>
      <c r="K892" s="1" t="s">
        <v>20</v>
      </c>
      <c r="M892" s="6"/>
      <c r="N892" s="7"/>
      <c r="O892" s="7" t="e">
        <f t="shared" si="14"/>
        <v>#DIV/0!</v>
      </c>
    </row>
    <row r="893" spans="1:15" x14ac:dyDescent="0.4">
      <c r="A893" s="1">
        <v>892</v>
      </c>
      <c r="D893" s="2"/>
      <c r="J893" s="2" t="s">
        <v>19</v>
      </c>
      <c r="K893" s="1" t="s">
        <v>20</v>
      </c>
      <c r="M893" s="6"/>
      <c r="N893" s="7"/>
      <c r="O893" s="7" t="e">
        <f t="shared" si="14"/>
        <v>#DIV/0!</v>
      </c>
    </row>
    <row r="894" spans="1:15" x14ac:dyDescent="0.4">
      <c r="A894" s="1">
        <v>893</v>
      </c>
      <c r="D894" s="2"/>
      <c r="J894" s="2" t="s">
        <v>19</v>
      </c>
      <c r="K894" s="1" t="s">
        <v>20</v>
      </c>
      <c r="M894" s="6"/>
      <c r="N894" s="7"/>
      <c r="O894" s="7" t="e">
        <f t="shared" si="14"/>
        <v>#DIV/0!</v>
      </c>
    </row>
    <row r="895" spans="1:15" x14ac:dyDescent="0.4">
      <c r="A895" s="1">
        <v>894</v>
      </c>
      <c r="D895" s="2"/>
      <c r="J895" s="2" t="s">
        <v>19</v>
      </c>
      <c r="K895" s="1" t="s">
        <v>20</v>
      </c>
      <c r="M895" s="6"/>
      <c r="N895" s="7"/>
      <c r="O895" s="7" t="e">
        <f t="shared" si="14"/>
        <v>#DIV/0!</v>
      </c>
    </row>
    <row r="896" spans="1:15" x14ac:dyDescent="0.4">
      <c r="A896" s="1">
        <v>895</v>
      </c>
      <c r="D896" s="2"/>
      <c r="J896" s="2" t="s">
        <v>19</v>
      </c>
      <c r="K896" s="1" t="s">
        <v>20</v>
      </c>
      <c r="M896" s="6"/>
      <c r="N896" s="7"/>
      <c r="O896" s="7" t="e">
        <f t="shared" si="14"/>
        <v>#DIV/0!</v>
      </c>
    </row>
    <row r="897" spans="1:15" x14ac:dyDescent="0.4">
      <c r="A897" s="1">
        <v>896</v>
      </c>
      <c r="D897" s="2"/>
      <c r="J897" s="2" t="s">
        <v>19</v>
      </c>
      <c r="K897" s="1" t="s">
        <v>20</v>
      </c>
      <c r="M897" s="6"/>
      <c r="N897" s="7"/>
      <c r="O897" s="7" t="e">
        <f t="shared" si="14"/>
        <v>#DIV/0!</v>
      </c>
    </row>
    <row r="898" spans="1:15" x14ac:dyDescent="0.4">
      <c r="A898" s="1">
        <v>897</v>
      </c>
      <c r="D898" s="2"/>
      <c r="J898" s="2" t="s">
        <v>19</v>
      </c>
      <c r="K898" s="1" t="s">
        <v>20</v>
      </c>
      <c r="M898" s="6"/>
      <c r="N898" s="7"/>
      <c r="O898" s="7" t="e">
        <f t="shared" ref="O898:O961" si="15">N898/M898</f>
        <v>#DIV/0!</v>
      </c>
    </row>
    <row r="899" spans="1:15" x14ac:dyDescent="0.4">
      <c r="A899" s="1">
        <v>898</v>
      </c>
      <c r="D899" s="2"/>
      <c r="J899" s="2" t="s">
        <v>19</v>
      </c>
      <c r="K899" s="1" t="s">
        <v>20</v>
      </c>
      <c r="M899" s="6"/>
      <c r="N899" s="7"/>
      <c r="O899" s="7" t="e">
        <f t="shared" si="15"/>
        <v>#DIV/0!</v>
      </c>
    </row>
    <row r="900" spans="1:15" x14ac:dyDescent="0.4">
      <c r="A900" s="1">
        <v>899</v>
      </c>
      <c r="D900" s="2"/>
      <c r="J900" s="2" t="s">
        <v>19</v>
      </c>
      <c r="K900" s="1" t="s">
        <v>20</v>
      </c>
      <c r="M900" s="6"/>
      <c r="N900" s="7"/>
      <c r="O900" s="7" t="e">
        <f t="shared" si="15"/>
        <v>#DIV/0!</v>
      </c>
    </row>
    <row r="901" spans="1:15" x14ac:dyDescent="0.4">
      <c r="A901" s="1">
        <v>900</v>
      </c>
      <c r="D901" s="2"/>
      <c r="J901" s="2" t="s">
        <v>19</v>
      </c>
      <c r="K901" s="1" t="s">
        <v>20</v>
      </c>
      <c r="M901" s="6"/>
      <c r="N901" s="7"/>
      <c r="O901" s="7" t="e">
        <f t="shared" si="15"/>
        <v>#DIV/0!</v>
      </c>
    </row>
    <row r="902" spans="1:15" x14ac:dyDescent="0.4">
      <c r="A902" s="1">
        <v>901</v>
      </c>
      <c r="D902" s="2"/>
      <c r="J902" s="2" t="s">
        <v>19</v>
      </c>
      <c r="K902" s="1" t="s">
        <v>20</v>
      </c>
      <c r="M902" s="6"/>
      <c r="N902" s="7"/>
      <c r="O902" s="7" t="e">
        <f t="shared" si="15"/>
        <v>#DIV/0!</v>
      </c>
    </row>
    <row r="903" spans="1:15" x14ac:dyDescent="0.4">
      <c r="A903" s="1">
        <v>902</v>
      </c>
      <c r="D903" s="2"/>
      <c r="J903" s="2" t="s">
        <v>19</v>
      </c>
      <c r="K903" s="1" t="s">
        <v>20</v>
      </c>
      <c r="M903" s="6"/>
      <c r="N903" s="7"/>
      <c r="O903" s="7" t="e">
        <f t="shared" si="15"/>
        <v>#DIV/0!</v>
      </c>
    </row>
    <row r="904" spans="1:15" x14ac:dyDescent="0.4">
      <c r="A904" s="1">
        <v>903</v>
      </c>
      <c r="D904" s="2"/>
      <c r="J904" s="2" t="s">
        <v>19</v>
      </c>
      <c r="K904" s="1" t="s">
        <v>20</v>
      </c>
      <c r="M904" s="6"/>
      <c r="N904" s="7"/>
      <c r="O904" s="7" t="e">
        <f t="shared" si="15"/>
        <v>#DIV/0!</v>
      </c>
    </row>
    <row r="905" spans="1:15" x14ac:dyDescent="0.4">
      <c r="A905" s="1">
        <v>904</v>
      </c>
      <c r="D905" s="2"/>
      <c r="J905" s="2" t="s">
        <v>19</v>
      </c>
      <c r="K905" s="1" t="s">
        <v>20</v>
      </c>
      <c r="M905" s="6"/>
      <c r="N905" s="7"/>
      <c r="O905" s="7" t="e">
        <f t="shared" si="15"/>
        <v>#DIV/0!</v>
      </c>
    </row>
    <row r="906" spans="1:15" x14ac:dyDescent="0.4">
      <c r="A906" s="1">
        <v>905</v>
      </c>
      <c r="D906" s="2"/>
      <c r="J906" s="2" t="s">
        <v>19</v>
      </c>
      <c r="K906" s="1" t="s">
        <v>20</v>
      </c>
      <c r="M906" s="6"/>
      <c r="N906" s="7"/>
      <c r="O906" s="7" t="e">
        <f t="shared" si="15"/>
        <v>#DIV/0!</v>
      </c>
    </row>
    <row r="907" spans="1:15" x14ac:dyDescent="0.4">
      <c r="A907" s="1">
        <v>906</v>
      </c>
      <c r="D907" s="2"/>
      <c r="J907" s="2" t="s">
        <v>19</v>
      </c>
      <c r="K907" s="1" t="s">
        <v>20</v>
      </c>
      <c r="M907" s="6"/>
      <c r="N907" s="7"/>
      <c r="O907" s="7" t="e">
        <f t="shared" si="15"/>
        <v>#DIV/0!</v>
      </c>
    </row>
    <row r="908" spans="1:15" x14ac:dyDescent="0.4">
      <c r="A908" s="1">
        <v>907</v>
      </c>
      <c r="D908" s="2"/>
      <c r="J908" s="2" t="s">
        <v>19</v>
      </c>
      <c r="K908" s="1" t="s">
        <v>20</v>
      </c>
      <c r="M908" s="6"/>
      <c r="N908" s="7"/>
      <c r="O908" s="7" t="e">
        <f t="shared" si="15"/>
        <v>#DIV/0!</v>
      </c>
    </row>
    <row r="909" spans="1:15" x14ac:dyDescent="0.4">
      <c r="A909" s="1">
        <v>908</v>
      </c>
      <c r="D909" s="2"/>
      <c r="J909" s="2" t="s">
        <v>19</v>
      </c>
      <c r="K909" s="1" t="s">
        <v>20</v>
      </c>
      <c r="M909" s="6"/>
      <c r="N909" s="7"/>
      <c r="O909" s="7" t="e">
        <f t="shared" si="15"/>
        <v>#DIV/0!</v>
      </c>
    </row>
    <row r="910" spans="1:15" x14ac:dyDescent="0.4">
      <c r="A910" s="1">
        <v>909</v>
      </c>
      <c r="D910" s="2"/>
      <c r="J910" s="2" t="s">
        <v>19</v>
      </c>
      <c r="K910" s="1" t="s">
        <v>20</v>
      </c>
      <c r="M910" s="6"/>
      <c r="N910" s="7"/>
      <c r="O910" s="7" t="e">
        <f t="shared" si="15"/>
        <v>#DIV/0!</v>
      </c>
    </row>
    <row r="911" spans="1:15" x14ac:dyDescent="0.4">
      <c r="A911" s="1">
        <v>910</v>
      </c>
      <c r="D911" s="2"/>
      <c r="J911" s="2" t="s">
        <v>19</v>
      </c>
      <c r="K911" s="1" t="s">
        <v>20</v>
      </c>
      <c r="M911" s="6"/>
      <c r="N911" s="7"/>
      <c r="O911" s="7" t="e">
        <f t="shared" si="15"/>
        <v>#DIV/0!</v>
      </c>
    </row>
    <row r="912" spans="1:15" x14ac:dyDescent="0.4">
      <c r="A912" s="1">
        <v>911</v>
      </c>
      <c r="D912" s="2"/>
      <c r="J912" s="2" t="s">
        <v>19</v>
      </c>
      <c r="K912" s="1" t="s">
        <v>20</v>
      </c>
      <c r="M912" s="6"/>
      <c r="N912" s="7"/>
      <c r="O912" s="7" t="e">
        <f t="shared" si="15"/>
        <v>#DIV/0!</v>
      </c>
    </row>
    <row r="913" spans="1:15" x14ac:dyDescent="0.4">
      <c r="A913" s="1">
        <v>912</v>
      </c>
      <c r="D913" s="2"/>
      <c r="J913" s="2" t="s">
        <v>19</v>
      </c>
      <c r="K913" s="1" t="s">
        <v>20</v>
      </c>
      <c r="M913" s="6"/>
      <c r="N913" s="7"/>
      <c r="O913" s="7" t="e">
        <f t="shared" si="15"/>
        <v>#DIV/0!</v>
      </c>
    </row>
    <row r="914" spans="1:15" x14ac:dyDescent="0.4">
      <c r="A914" s="1">
        <v>913</v>
      </c>
      <c r="D914" s="2"/>
      <c r="J914" s="2" t="s">
        <v>19</v>
      </c>
      <c r="K914" s="1" t="s">
        <v>20</v>
      </c>
      <c r="M914" s="6"/>
      <c r="N914" s="7"/>
      <c r="O914" s="7" t="e">
        <f t="shared" si="15"/>
        <v>#DIV/0!</v>
      </c>
    </row>
    <row r="915" spans="1:15" x14ac:dyDescent="0.4">
      <c r="A915" s="1">
        <v>914</v>
      </c>
      <c r="D915" s="2"/>
      <c r="J915" s="2" t="s">
        <v>19</v>
      </c>
      <c r="K915" s="1" t="s">
        <v>20</v>
      </c>
      <c r="M915" s="6"/>
      <c r="N915" s="7"/>
      <c r="O915" s="7" t="e">
        <f t="shared" si="15"/>
        <v>#DIV/0!</v>
      </c>
    </row>
    <row r="916" spans="1:15" x14ac:dyDescent="0.4">
      <c r="A916" s="1">
        <v>915</v>
      </c>
      <c r="D916" s="2"/>
      <c r="J916" s="2" t="s">
        <v>19</v>
      </c>
      <c r="K916" s="1" t="s">
        <v>20</v>
      </c>
      <c r="M916" s="6"/>
      <c r="N916" s="7"/>
      <c r="O916" s="7" t="e">
        <f t="shared" si="15"/>
        <v>#DIV/0!</v>
      </c>
    </row>
    <row r="917" spans="1:15" x14ac:dyDescent="0.4">
      <c r="A917" s="1">
        <v>916</v>
      </c>
      <c r="D917" s="2"/>
      <c r="J917" s="2" t="s">
        <v>19</v>
      </c>
      <c r="K917" s="1" t="s">
        <v>20</v>
      </c>
      <c r="M917" s="6"/>
      <c r="N917" s="7"/>
      <c r="O917" s="7" t="e">
        <f t="shared" si="15"/>
        <v>#DIV/0!</v>
      </c>
    </row>
    <row r="918" spans="1:15" x14ac:dyDescent="0.4">
      <c r="A918" s="1">
        <v>917</v>
      </c>
      <c r="D918" s="2"/>
      <c r="J918" s="2" t="s">
        <v>19</v>
      </c>
      <c r="K918" s="1" t="s">
        <v>20</v>
      </c>
      <c r="M918" s="6"/>
      <c r="N918" s="7"/>
      <c r="O918" s="7" t="e">
        <f t="shared" si="15"/>
        <v>#DIV/0!</v>
      </c>
    </row>
    <row r="919" spans="1:15" x14ac:dyDescent="0.4">
      <c r="A919" s="1">
        <v>918</v>
      </c>
      <c r="D919" s="2"/>
      <c r="J919" s="2" t="s">
        <v>19</v>
      </c>
      <c r="K919" s="1" t="s">
        <v>20</v>
      </c>
      <c r="M919" s="6"/>
      <c r="N919" s="7"/>
      <c r="O919" s="7" t="e">
        <f t="shared" si="15"/>
        <v>#DIV/0!</v>
      </c>
    </row>
    <row r="920" spans="1:15" x14ac:dyDescent="0.4">
      <c r="A920" s="1">
        <v>919</v>
      </c>
      <c r="D920" s="2"/>
      <c r="J920" s="2" t="s">
        <v>19</v>
      </c>
      <c r="K920" s="1" t="s">
        <v>20</v>
      </c>
      <c r="M920" s="6"/>
      <c r="N920" s="7"/>
      <c r="O920" s="7" t="e">
        <f t="shared" si="15"/>
        <v>#DIV/0!</v>
      </c>
    </row>
    <row r="921" spans="1:15" x14ac:dyDescent="0.4">
      <c r="A921" s="1">
        <v>920</v>
      </c>
      <c r="D921" s="2"/>
      <c r="J921" s="2" t="s">
        <v>19</v>
      </c>
      <c r="K921" s="1" t="s">
        <v>20</v>
      </c>
      <c r="M921" s="6"/>
      <c r="N921" s="7"/>
      <c r="O921" s="7" t="e">
        <f t="shared" si="15"/>
        <v>#DIV/0!</v>
      </c>
    </row>
    <row r="922" spans="1:15" x14ac:dyDescent="0.4">
      <c r="A922" s="1">
        <v>921</v>
      </c>
      <c r="D922" s="2"/>
      <c r="J922" s="2" t="s">
        <v>19</v>
      </c>
      <c r="K922" s="1" t="s">
        <v>20</v>
      </c>
      <c r="M922" s="6"/>
      <c r="N922" s="7"/>
      <c r="O922" s="7" t="e">
        <f t="shared" si="15"/>
        <v>#DIV/0!</v>
      </c>
    </row>
    <row r="923" spans="1:15" x14ac:dyDescent="0.4">
      <c r="A923" s="1">
        <v>922</v>
      </c>
      <c r="D923" s="2"/>
      <c r="J923" s="2" t="s">
        <v>19</v>
      </c>
      <c r="K923" s="1" t="s">
        <v>20</v>
      </c>
      <c r="M923" s="6"/>
      <c r="N923" s="7"/>
      <c r="O923" s="7" t="e">
        <f t="shared" si="15"/>
        <v>#DIV/0!</v>
      </c>
    </row>
    <row r="924" spans="1:15" x14ac:dyDescent="0.4">
      <c r="A924" s="1">
        <v>923</v>
      </c>
      <c r="D924" s="2"/>
      <c r="J924" s="2" t="s">
        <v>19</v>
      </c>
      <c r="K924" s="1" t="s">
        <v>20</v>
      </c>
      <c r="M924" s="6"/>
      <c r="N924" s="7"/>
      <c r="O924" s="7" t="e">
        <f t="shared" si="15"/>
        <v>#DIV/0!</v>
      </c>
    </row>
    <row r="925" spans="1:15" x14ac:dyDescent="0.4">
      <c r="A925" s="1">
        <v>924</v>
      </c>
      <c r="D925" s="2"/>
      <c r="J925" s="2" t="s">
        <v>19</v>
      </c>
      <c r="K925" s="1" t="s">
        <v>20</v>
      </c>
      <c r="M925" s="6"/>
      <c r="N925" s="7"/>
      <c r="O925" s="7" t="e">
        <f t="shared" si="15"/>
        <v>#DIV/0!</v>
      </c>
    </row>
    <row r="926" spans="1:15" x14ac:dyDescent="0.4">
      <c r="A926" s="1">
        <v>925</v>
      </c>
      <c r="D926" s="2"/>
      <c r="J926" s="2" t="s">
        <v>19</v>
      </c>
      <c r="K926" s="1" t="s">
        <v>20</v>
      </c>
      <c r="M926" s="6"/>
      <c r="N926" s="7"/>
      <c r="O926" s="7" t="e">
        <f t="shared" si="15"/>
        <v>#DIV/0!</v>
      </c>
    </row>
    <row r="927" spans="1:15" x14ac:dyDescent="0.4">
      <c r="A927" s="1">
        <v>926</v>
      </c>
      <c r="D927" s="2"/>
      <c r="J927" s="2" t="s">
        <v>19</v>
      </c>
      <c r="K927" s="1" t="s">
        <v>20</v>
      </c>
      <c r="M927" s="6"/>
      <c r="N927" s="7"/>
      <c r="O927" s="7" t="e">
        <f t="shared" si="15"/>
        <v>#DIV/0!</v>
      </c>
    </row>
    <row r="928" spans="1:15" x14ac:dyDescent="0.4">
      <c r="A928" s="1">
        <v>927</v>
      </c>
      <c r="D928" s="2"/>
      <c r="J928" s="2" t="s">
        <v>19</v>
      </c>
      <c r="K928" s="1" t="s">
        <v>20</v>
      </c>
      <c r="M928" s="6"/>
      <c r="N928" s="7"/>
      <c r="O928" s="7" t="e">
        <f t="shared" si="15"/>
        <v>#DIV/0!</v>
      </c>
    </row>
    <row r="929" spans="1:15" x14ac:dyDescent="0.4">
      <c r="A929" s="1">
        <v>928</v>
      </c>
      <c r="D929" s="2"/>
      <c r="J929" s="2" t="s">
        <v>19</v>
      </c>
      <c r="K929" s="1" t="s">
        <v>20</v>
      </c>
      <c r="M929" s="6"/>
      <c r="N929" s="7"/>
      <c r="O929" s="7" t="e">
        <f t="shared" si="15"/>
        <v>#DIV/0!</v>
      </c>
    </row>
    <row r="930" spans="1:15" x14ac:dyDescent="0.4">
      <c r="A930" s="1">
        <v>929</v>
      </c>
      <c r="D930" s="2"/>
      <c r="J930" s="2" t="s">
        <v>19</v>
      </c>
      <c r="K930" s="1" t="s">
        <v>20</v>
      </c>
      <c r="M930" s="6"/>
      <c r="N930" s="7"/>
      <c r="O930" s="7" t="e">
        <f t="shared" si="15"/>
        <v>#DIV/0!</v>
      </c>
    </row>
    <row r="931" spans="1:15" x14ac:dyDescent="0.4">
      <c r="A931" s="1">
        <v>930</v>
      </c>
      <c r="D931" s="2"/>
      <c r="J931" s="2" t="s">
        <v>19</v>
      </c>
      <c r="K931" s="1" t="s">
        <v>20</v>
      </c>
      <c r="M931" s="6"/>
      <c r="N931" s="7"/>
      <c r="O931" s="7" t="e">
        <f t="shared" si="15"/>
        <v>#DIV/0!</v>
      </c>
    </row>
    <row r="932" spans="1:15" x14ac:dyDescent="0.4">
      <c r="A932" s="1">
        <v>931</v>
      </c>
      <c r="D932" s="2"/>
      <c r="J932" s="2" t="s">
        <v>19</v>
      </c>
      <c r="K932" s="1" t="s">
        <v>20</v>
      </c>
      <c r="M932" s="6"/>
      <c r="N932" s="7"/>
      <c r="O932" s="7" t="e">
        <f t="shared" si="15"/>
        <v>#DIV/0!</v>
      </c>
    </row>
    <row r="933" spans="1:15" x14ac:dyDescent="0.4">
      <c r="A933" s="1">
        <v>932</v>
      </c>
      <c r="D933" s="2"/>
      <c r="J933" s="2" t="s">
        <v>19</v>
      </c>
      <c r="K933" s="1" t="s">
        <v>20</v>
      </c>
      <c r="M933" s="6"/>
      <c r="N933" s="7"/>
      <c r="O933" s="7" t="e">
        <f t="shared" si="15"/>
        <v>#DIV/0!</v>
      </c>
    </row>
    <row r="934" spans="1:15" x14ac:dyDescent="0.4">
      <c r="A934" s="1">
        <v>933</v>
      </c>
      <c r="D934" s="2"/>
      <c r="J934" s="2" t="s">
        <v>19</v>
      </c>
      <c r="K934" s="1" t="s">
        <v>20</v>
      </c>
      <c r="M934" s="6"/>
      <c r="N934" s="7"/>
      <c r="O934" s="7" t="e">
        <f t="shared" si="15"/>
        <v>#DIV/0!</v>
      </c>
    </row>
    <row r="935" spans="1:15" x14ac:dyDescent="0.4">
      <c r="A935" s="1">
        <v>934</v>
      </c>
      <c r="D935" s="2"/>
      <c r="J935" s="2" t="s">
        <v>19</v>
      </c>
      <c r="K935" s="1" t="s">
        <v>20</v>
      </c>
      <c r="M935" s="6"/>
      <c r="N935" s="7"/>
      <c r="O935" s="7" t="e">
        <f t="shared" si="15"/>
        <v>#DIV/0!</v>
      </c>
    </row>
    <row r="936" spans="1:15" x14ac:dyDescent="0.4">
      <c r="A936" s="1">
        <v>935</v>
      </c>
      <c r="D936" s="2"/>
      <c r="J936" s="2" t="s">
        <v>19</v>
      </c>
      <c r="K936" s="1" t="s">
        <v>20</v>
      </c>
      <c r="M936" s="6"/>
      <c r="N936" s="7"/>
      <c r="O936" s="7" t="e">
        <f t="shared" si="15"/>
        <v>#DIV/0!</v>
      </c>
    </row>
    <row r="937" spans="1:15" x14ac:dyDescent="0.4">
      <c r="A937" s="1">
        <v>936</v>
      </c>
      <c r="D937" s="2"/>
      <c r="J937" s="2" t="s">
        <v>19</v>
      </c>
      <c r="K937" s="1" t="s">
        <v>20</v>
      </c>
      <c r="M937" s="6"/>
      <c r="N937" s="7"/>
      <c r="O937" s="7" t="e">
        <f t="shared" si="15"/>
        <v>#DIV/0!</v>
      </c>
    </row>
    <row r="938" spans="1:15" x14ac:dyDescent="0.4">
      <c r="A938" s="1">
        <v>937</v>
      </c>
      <c r="D938" s="2"/>
      <c r="J938" s="2" t="s">
        <v>19</v>
      </c>
      <c r="K938" s="1" t="s">
        <v>20</v>
      </c>
      <c r="M938" s="6"/>
      <c r="N938" s="7"/>
      <c r="O938" s="7" t="e">
        <f t="shared" si="15"/>
        <v>#DIV/0!</v>
      </c>
    </row>
    <row r="939" spans="1:15" x14ac:dyDescent="0.4">
      <c r="A939" s="1">
        <v>938</v>
      </c>
      <c r="D939" s="2"/>
      <c r="J939" s="2" t="s">
        <v>19</v>
      </c>
      <c r="K939" s="1" t="s">
        <v>20</v>
      </c>
      <c r="M939" s="6"/>
      <c r="N939" s="7"/>
      <c r="O939" s="7" t="e">
        <f t="shared" si="15"/>
        <v>#DIV/0!</v>
      </c>
    </row>
    <row r="940" spans="1:15" x14ac:dyDescent="0.4">
      <c r="A940" s="1">
        <v>939</v>
      </c>
      <c r="D940" s="2"/>
      <c r="J940" s="2" t="s">
        <v>19</v>
      </c>
      <c r="K940" s="1" t="s">
        <v>20</v>
      </c>
      <c r="M940" s="6"/>
      <c r="N940" s="7"/>
      <c r="O940" s="7" t="e">
        <f t="shared" si="15"/>
        <v>#DIV/0!</v>
      </c>
    </row>
    <row r="941" spans="1:15" x14ac:dyDescent="0.4">
      <c r="A941" s="1">
        <v>940</v>
      </c>
      <c r="D941" s="2"/>
      <c r="J941" s="2" t="s">
        <v>19</v>
      </c>
      <c r="K941" s="1" t="s">
        <v>20</v>
      </c>
      <c r="M941" s="6"/>
      <c r="N941" s="7"/>
      <c r="O941" s="7" t="e">
        <f t="shared" si="15"/>
        <v>#DIV/0!</v>
      </c>
    </row>
    <row r="942" spans="1:15" x14ac:dyDescent="0.4">
      <c r="A942" s="1">
        <v>941</v>
      </c>
      <c r="D942" s="2"/>
      <c r="J942" s="2" t="s">
        <v>19</v>
      </c>
      <c r="K942" s="1" t="s">
        <v>20</v>
      </c>
      <c r="M942" s="6"/>
      <c r="N942" s="7"/>
      <c r="O942" s="7" t="e">
        <f t="shared" si="15"/>
        <v>#DIV/0!</v>
      </c>
    </row>
    <row r="943" spans="1:15" x14ac:dyDescent="0.4">
      <c r="A943" s="1">
        <v>942</v>
      </c>
      <c r="D943" s="2"/>
      <c r="J943" s="2" t="s">
        <v>19</v>
      </c>
      <c r="K943" s="1" t="s">
        <v>20</v>
      </c>
      <c r="M943" s="6"/>
      <c r="N943" s="7"/>
      <c r="O943" s="7" t="e">
        <f t="shared" si="15"/>
        <v>#DIV/0!</v>
      </c>
    </row>
    <row r="944" spans="1:15" x14ac:dyDescent="0.4">
      <c r="A944" s="1">
        <v>943</v>
      </c>
      <c r="D944" s="2"/>
      <c r="J944" s="2" t="s">
        <v>19</v>
      </c>
      <c r="K944" s="1" t="s">
        <v>20</v>
      </c>
      <c r="M944" s="6"/>
      <c r="N944" s="7"/>
      <c r="O944" s="7" t="e">
        <f t="shared" si="15"/>
        <v>#DIV/0!</v>
      </c>
    </row>
    <row r="945" spans="1:15" x14ac:dyDescent="0.4">
      <c r="A945" s="1">
        <v>944</v>
      </c>
      <c r="D945" s="2"/>
      <c r="J945" s="2" t="s">
        <v>19</v>
      </c>
      <c r="K945" s="1" t="s">
        <v>20</v>
      </c>
      <c r="M945" s="6"/>
      <c r="N945" s="7"/>
      <c r="O945" s="7" t="e">
        <f t="shared" si="15"/>
        <v>#DIV/0!</v>
      </c>
    </row>
    <row r="946" spans="1:15" x14ac:dyDescent="0.4">
      <c r="A946" s="1">
        <v>945</v>
      </c>
      <c r="D946" s="2"/>
      <c r="J946" s="2" t="s">
        <v>19</v>
      </c>
      <c r="K946" s="1" t="s">
        <v>20</v>
      </c>
      <c r="M946" s="6"/>
      <c r="N946" s="7"/>
      <c r="O946" s="7" t="e">
        <f t="shared" si="15"/>
        <v>#DIV/0!</v>
      </c>
    </row>
    <row r="947" spans="1:15" x14ac:dyDescent="0.4">
      <c r="A947" s="1">
        <v>946</v>
      </c>
      <c r="D947" s="2"/>
      <c r="J947" s="2" t="s">
        <v>19</v>
      </c>
      <c r="K947" s="1" t="s">
        <v>20</v>
      </c>
      <c r="M947" s="6"/>
      <c r="N947" s="7"/>
      <c r="O947" s="7" t="e">
        <f t="shared" si="15"/>
        <v>#DIV/0!</v>
      </c>
    </row>
    <row r="948" spans="1:15" x14ac:dyDescent="0.4">
      <c r="A948" s="1">
        <v>947</v>
      </c>
      <c r="D948" s="2"/>
      <c r="J948" s="2" t="s">
        <v>19</v>
      </c>
      <c r="K948" s="1" t="s">
        <v>20</v>
      </c>
      <c r="M948" s="6"/>
      <c r="N948" s="7"/>
      <c r="O948" s="7" t="e">
        <f t="shared" si="15"/>
        <v>#DIV/0!</v>
      </c>
    </row>
    <row r="949" spans="1:15" x14ac:dyDescent="0.4">
      <c r="A949" s="1">
        <v>948</v>
      </c>
      <c r="D949" s="2"/>
      <c r="J949" s="2" t="s">
        <v>19</v>
      </c>
      <c r="K949" s="1" t="s">
        <v>20</v>
      </c>
      <c r="M949" s="6"/>
      <c r="N949" s="7"/>
      <c r="O949" s="7" t="e">
        <f t="shared" si="15"/>
        <v>#DIV/0!</v>
      </c>
    </row>
    <row r="950" spans="1:15" x14ac:dyDescent="0.4">
      <c r="A950" s="1">
        <v>949</v>
      </c>
      <c r="D950" s="2"/>
      <c r="J950" s="2" t="s">
        <v>19</v>
      </c>
      <c r="K950" s="1" t="s">
        <v>20</v>
      </c>
      <c r="M950" s="6"/>
      <c r="N950" s="7"/>
      <c r="O950" s="7" t="e">
        <f t="shared" si="15"/>
        <v>#DIV/0!</v>
      </c>
    </row>
    <row r="951" spans="1:15" x14ac:dyDescent="0.4">
      <c r="A951" s="1">
        <v>950</v>
      </c>
      <c r="D951" s="2"/>
      <c r="J951" s="2" t="s">
        <v>19</v>
      </c>
      <c r="K951" s="1" t="s">
        <v>20</v>
      </c>
      <c r="M951" s="6"/>
      <c r="N951" s="7"/>
      <c r="O951" s="7" t="e">
        <f t="shared" si="15"/>
        <v>#DIV/0!</v>
      </c>
    </row>
    <row r="952" spans="1:15" x14ac:dyDescent="0.4">
      <c r="A952" s="1">
        <v>951</v>
      </c>
      <c r="D952" s="2"/>
      <c r="J952" s="2" t="s">
        <v>19</v>
      </c>
      <c r="K952" s="1" t="s">
        <v>20</v>
      </c>
      <c r="M952" s="6"/>
      <c r="N952" s="7"/>
      <c r="O952" s="7" t="e">
        <f t="shared" si="15"/>
        <v>#DIV/0!</v>
      </c>
    </row>
    <row r="953" spans="1:15" x14ac:dyDescent="0.4">
      <c r="A953" s="1">
        <v>952</v>
      </c>
      <c r="D953" s="2"/>
      <c r="J953" s="2" t="s">
        <v>19</v>
      </c>
      <c r="K953" s="1" t="s">
        <v>20</v>
      </c>
      <c r="M953" s="6"/>
      <c r="N953" s="7"/>
      <c r="O953" s="7" t="e">
        <f t="shared" si="15"/>
        <v>#DIV/0!</v>
      </c>
    </row>
    <row r="954" spans="1:15" x14ac:dyDescent="0.4">
      <c r="A954" s="1">
        <v>953</v>
      </c>
      <c r="D954" s="2"/>
      <c r="J954" s="2" t="s">
        <v>19</v>
      </c>
      <c r="K954" s="1" t="s">
        <v>20</v>
      </c>
      <c r="M954" s="6"/>
      <c r="N954" s="7"/>
      <c r="O954" s="7" t="e">
        <f t="shared" si="15"/>
        <v>#DIV/0!</v>
      </c>
    </row>
    <row r="955" spans="1:15" x14ac:dyDescent="0.4">
      <c r="A955" s="1">
        <v>954</v>
      </c>
      <c r="D955" s="2"/>
      <c r="J955" s="2" t="s">
        <v>19</v>
      </c>
      <c r="K955" s="1" t="s">
        <v>20</v>
      </c>
      <c r="M955" s="6"/>
      <c r="N955" s="7"/>
      <c r="O955" s="7" t="e">
        <f t="shared" si="15"/>
        <v>#DIV/0!</v>
      </c>
    </row>
    <row r="956" spans="1:15" x14ac:dyDescent="0.4">
      <c r="A956" s="1">
        <v>955</v>
      </c>
      <c r="D956" s="2"/>
      <c r="J956" s="2" t="s">
        <v>19</v>
      </c>
      <c r="K956" s="1" t="s">
        <v>20</v>
      </c>
      <c r="M956" s="6"/>
      <c r="N956" s="7"/>
      <c r="O956" s="7" t="e">
        <f t="shared" si="15"/>
        <v>#DIV/0!</v>
      </c>
    </row>
    <row r="957" spans="1:15" x14ac:dyDescent="0.4">
      <c r="A957" s="1">
        <v>956</v>
      </c>
      <c r="D957" s="2"/>
      <c r="J957" s="2" t="s">
        <v>19</v>
      </c>
      <c r="K957" s="1" t="s">
        <v>20</v>
      </c>
      <c r="M957" s="6"/>
      <c r="N957" s="7"/>
      <c r="O957" s="7" t="e">
        <f t="shared" si="15"/>
        <v>#DIV/0!</v>
      </c>
    </row>
    <row r="958" spans="1:15" x14ac:dyDescent="0.4">
      <c r="A958" s="1">
        <v>957</v>
      </c>
      <c r="D958" s="2"/>
      <c r="J958" s="2" t="s">
        <v>19</v>
      </c>
      <c r="K958" s="1" t="s">
        <v>20</v>
      </c>
      <c r="M958" s="6"/>
      <c r="N958" s="7"/>
      <c r="O958" s="7" t="e">
        <f t="shared" si="15"/>
        <v>#DIV/0!</v>
      </c>
    </row>
    <row r="959" spans="1:15" x14ac:dyDescent="0.4">
      <c r="A959" s="1">
        <v>958</v>
      </c>
      <c r="D959" s="2"/>
      <c r="J959" s="2" t="s">
        <v>19</v>
      </c>
      <c r="K959" s="1" t="s">
        <v>20</v>
      </c>
      <c r="M959" s="6"/>
      <c r="N959" s="7"/>
      <c r="O959" s="7" t="e">
        <f t="shared" si="15"/>
        <v>#DIV/0!</v>
      </c>
    </row>
    <row r="960" spans="1:15" x14ac:dyDescent="0.4">
      <c r="A960" s="1">
        <v>959</v>
      </c>
      <c r="D960" s="2"/>
      <c r="J960" s="2" t="s">
        <v>19</v>
      </c>
      <c r="K960" s="1" t="s">
        <v>20</v>
      </c>
      <c r="M960" s="6"/>
      <c r="N960" s="7"/>
      <c r="O960" s="7" t="e">
        <f t="shared" si="15"/>
        <v>#DIV/0!</v>
      </c>
    </row>
    <row r="961" spans="1:15" x14ac:dyDescent="0.4">
      <c r="A961" s="1">
        <v>960</v>
      </c>
      <c r="D961" s="2"/>
      <c r="J961" s="2" t="s">
        <v>19</v>
      </c>
      <c r="K961" s="1" t="s">
        <v>20</v>
      </c>
      <c r="M961" s="6"/>
      <c r="N961" s="7"/>
      <c r="O961" s="7" t="e">
        <f t="shared" si="15"/>
        <v>#DIV/0!</v>
      </c>
    </row>
    <row r="962" spans="1:15" x14ac:dyDescent="0.4">
      <c r="A962" s="1">
        <v>961</v>
      </c>
      <c r="D962" s="2"/>
      <c r="J962" s="2" t="s">
        <v>19</v>
      </c>
      <c r="K962" s="1" t="s">
        <v>20</v>
      </c>
      <c r="M962" s="6"/>
      <c r="N962" s="7"/>
      <c r="O962" s="7" t="e">
        <f t="shared" ref="O962:O1000" si="16">N962/M962</f>
        <v>#DIV/0!</v>
      </c>
    </row>
    <row r="963" spans="1:15" x14ac:dyDescent="0.4">
      <c r="A963" s="1">
        <v>962</v>
      </c>
      <c r="D963" s="2"/>
      <c r="J963" s="2" t="s">
        <v>19</v>
      </c>
      <c r="K963" s="1" t="s">
        <v>20</v>
      </c>
      <c r="M963" s="6"/>
      <c r="N963" s="7"/>
      <c r="O963" s="7" t="e">
        <f t="shared" si="16"/>
        <v>#DIV/0!</v>
      </c>
    </row>
    <row r="964" spans="1:15" x14ac:dyDescent="0.4">
      <c r="A964" s="1">
        <v>963</v>
      </c>
      <c r="D964" s="2"/>
      <c r="J964" s="2" t="s">
        <v>19</v>
      </c>
      <c r="K964" s="1" t="s">
        <v>20</v>
      </c>
      <c r="M964" s="6"/>
      <c r="N964" s="7"/>
      <c r="O964" s="7" t="e">
        <f t="shared" si="16"/>
        <v>#DIV/0!</v>
      </c>
    </row>
    <row r="965" spans="1:15" x14ac:dyDescent="0.4">
      <c r="A965" s="1">
        <v>964</v>
      </c>
      <c r="D965" s="2"/>
      <c r="J965" s="2" t="s">
        <v>19</v>
      </c>
      <c r="K965" s="1" t="s">
        <v>20</v>
      </c>
      <c r="M965" s="6"/>
      <c r="N965" s="7"/>
      <c r="O965" s="7" t="e">
        <f t="shared" si="16"/>
        <v>#DIV/0!</v>
      </c>
    </row>
    <row r="966" spans="1:15" x14ac:dyDescent="0.4">
      <c r="A966" s="1">
        <v>965</v>
      </c>
      <c r="D966" s="2"/>
      <c r="J966" s="2" t="s">
        <v>19</v>
      </c>
      <c r="K966" s="1" t="s">
        <v>20</v>
      </c>
      <c r="M966" s="6"/>
      <c r="N966" s="7"/>
      <c r="O966" s="7" t="e">
        <f t="shared" si="16"/>
        <v>#DIV/0!</v>
      </c>
    </row>
    <row r="967" spans="1:15" x14ac:dyDescent="0.4">
      <c r="A967" s="1">
        <v>966</v>
      </c>
      <c r="D967" s="2"/>
      <c r="J967" s="2" t="s">
        <v>19</v>
      </c>
      <c r="K967" s="1" t="s">
        <v>20</v>
      </c>
      <c r="M967" s="6"/>
      <c r="N967" s="7"/>
      <c r="O967" s="7" t="e">
        <f t="shared" si="16"/>
        <v>#DIV/0!</v>
      </c>
    </row>
    <row r="968" spans="1:15" x14ac:dyDescent="0.4">
      <c r="A968" s="1">
        <v>967</v>
      </c>
      <c r="D968" s="2"/>
      <c r="J968" s="2" t="s">
        <v>19</v>
      </c>
      <c r="K968" s="1" t="s">
        <v>20</v>
      </c>
      <c r="M968" s="6"/>
      <c r="N968" s="7"/>
      <c r="O968" s="7" t="e">
        <f t="shared" si="16"/>
        <v>#DIV/0!</v>
      </c>
    </row>
    <row r="969" spans="1:15" x14ac:dyDescent="0.4">
      <c r="A969" s="1">
        <v>968</v>
      </c>
      <c r="D969" s="2"/>
      <c r="J969" s="2" t="s">
        <v>19</v>
      </c>
      <c r="K969" s="1" t="s">
        <v>20</v>
      </c>
      <c r="M969" s="6"/>
      <c r="N969" s="7"/>
      <c r="O969" s="7" t="e">
        <f t="shared" si="16"/>
        <v>#DIV/0!</v>
      </c>
    </row>
    <row r="970" spans="1:15" x14ac:dyDescent="0.4">
      <c r="A970" s="1">
        <v>969</v>
      </c>
      <c r="D970" s="2"/>
      <c r="J970" s="2" t="s">
        <v>19</v>
      </c>
      <c r="K970" s="1" t="s">
        <v>20</v>
      </c>
      <c r="M970" s="6"/>
      <c r="N970" s="7"/>
      <c r="O970" s="7" t="e">
        <f t="shared" si="16"/>
        <v>#DIV/0!</v>
      </c>
    </row>
    <row r="971" spans="1:15" x14ac:dyDescent="0.4">
      <c r="A971" s="1">
        <v>970</v>
      </c>
      <c r="D971" s="2"/>
      <c r="J971" s="2" t="s">
        <v>19</v>
      </c>
      <c r="K971" s="1" t="s">
        <v>20</v>
      </c>
      <c r="M971" s="6"/>
      <c r="N971" s="7"/>
      <c r="O971" s="7" t="e">
        <f t="shared" si="16"/>
        <v>#DIV/0!</v>
      </c>
    </row>
    <row r="972" spans="1:15" x14ac:dyDescent="0.4">
      <c r="A972" s="1">
        <v>971</v>
      </c>
      <c r="D972" s="2"/>
      <c r="J972" s="2" t="s">
        <v>19</v>
      </c>
      <c r="K972" s="1" t="s">
        <v>20</v>
      </c>
      <c r="M972" s="6"/>
      <c r="N972" s="7"/>
      <c r="O972" s="7" t="e">
        <f t="shared" si="16"/>
        <v>#DIV/0!</v>
      </c>
    </row>
    <row r="973" spans="1:15" x14ac:dyDescent="0.4">
      <c r="A973" s="1">
        <v>972</v>
      </c>
      <c r="D973" s="2"/>
      <c r="J973" s="2" t="s">
        <v>19</v>
      </c>
      <c r="K973" s="1" t="s">
        <v>20</v>
      </c>
      <c r="M973" s="6"/>
      <c r="N973" s="7"/>
      <c r="O973" s="7" t="e">
        <f t="shared" si="16"/>
        <v>#DIV/0!</v>
      </c>
    </row>
    <row r="974" spans="1:15" x14ac:dyDescent="0.4">
      <c r="A974" s="1">
        <v>973</v>
      </c>
      <c r="D974" s="2"/>
      <c r="J974" s="2" t="s">
        <v>19</v>
      </c>
      <c r="K974" s="1" t="s">
        <v>20</v>
      </c>
      <c r="M974" s="6"/>
      <c r="N974" s="7"/>
      <c r="O974" s="7" t="e">
        <f t="shared" si="16"/>
        <v>#DIV/0!</v>
      </c>
    </row>
    <row r="975" spans="1:15" x14ac:dyDescent="0.4">
      <c r="A975" s="1">
        <v>974</v>
      </c>
      <c r="D975" s="2"/>
      <c r="J975" s="2" t="s">
        <v>19</v>
      </c>
      <c r="K975" s="1" t="s">
        <v>20</v>
      </c>
      <c r="M975" s="6"/>
      <c r="N975" s="7"/>
      <c r="O975" s="7" t="e">
        <f t="shared" si="16"/>
        <v>#DIV/0!</v>
      </c>
    </row>
    <row r="976" spans="1:15" x14ac:dyDescent="0.4">
      <c r="A976" s="1">
        <v>975</v>
      </c>
      <c r="D976" s="2"/>
      <c r="J976" s="2" t="s">
        <v>19</v>
      </c>
      <c r="K976" s="1" t="s">
        <v>20</v>
      </c>
      <c r="M976" s="6"/>
      <c r="N976" s="7"/>
      <c r="O976" s="7" t="e">
        <f t="shared" si="16"/>
        <v>#DIV/0!</v>
      </c>
    </row>
    <row r="977" spans="1:15" x14ac:dyDescent="0.4">
      <c r="A977" s="1">
        <v>976</v>
      </c>
      <c r="D977" s="2"/>
      <c r="J977" s="2" t="s">
        <v>19</v>
      </c>
      <c r="K977" s="1" t="s">
        <v>20</v>
      </c>
      <c r="M977" s="6"/>
      <c r="N977" s="7"/>
      <c r="O977" s="7" t="e">
        <f t="shared" si="16"/>
        <v>#DIV/0!</v>
      </c>
    </row>
    <row r="978" spans="1:15" x14ac:dyDescent="0.4">
      <c r="A978" s="1">
        <v>977</v>
      </c>
      <c r="D978" s="2"/>
      <c r="J978" s="2" t="s">
        <v>19</v>
      </c>
      <c r="K978" s="1" t="s">
        <v>20</v>
      </c>
      <c r="M978" s="6"/>
      <c r="N978" s="7"/>
      <c r="O978" s="7" t="e">
        <f t="shared" si="16"/>
        <v>#DIV/0!</v>
      </c>
    </row>
    <row r="979" spans="1:15" x14ac:dyDescent="0.4">
      <c r="A979" s="1">
        <v>978</v>
      </c>
      <c r="D979" s="2"/>
      <c r="J979" s="2" t="s">
        <v>19</v>
      </c>
      <c r="K979" s="1" t="s">
        <v>20</v>
      </c>
      <c r="M979" s="6"/>
      <c r="N979" s="7"/>
      <c r="O979" s="7" t="e">
        <f t="shared" si="16"/>
        <v>#DIV/0!</v>
      </c>
    </row>
    <row r="980" spans="1:15" x14ac:dyDescent="0.4">
      <c r="A980" s="1">
        <v>979</v>
      </c>
      <c r="D980" s="2"/>
      <c r="J980" s="2" t="s">
        <v>19</v>
      </c>
      <c r="K980" s="1" t="s">
        <v>20</v>
      </c>
      <c r="M980" s="6"/>
      <c r="N980" s="7"/>
      <c r="O980" s="7" t="e">
        <f t="shared" si="16"/>
        <v>#DIV/0!</v>
      </c>
    </row>
    <row r="981" spans="1:15" x14ac:dyDescent="0.4">
      <c r="A981" s="1">
        <v>980</v>
      </c>
      <c r="D981" s="2"/>
      <c r="J981" s="2" t="s">
        <v>19</v>
      </c>
      <c r="K981" s="1" t="s">
        <v>20</v>
      </c>
      <c r="M981" s="6"/>
      <c r="N981" s="7"/>
      <c r="O981" s="7" t="e">
        <f t="shared" si="16"/>
        <v>#DIV/0!</v>
      </c>
    </row>
    <row r="982" spans="1:15" x14ac:dyDescent="0.4">
      <c r="A982" s="1">
        <v>981</v>
      </c>
      <c r="D982" s="2"/>
      <c r="J982" s="2" t="s">
        <v>19</v>
      </c>
      <c r="K982" s="1" t="s">
        <v>20</v>
      </c>
      <c r="M982" s="6"/>
      <c r="N982" s="7"/>
      <c r="O982" s="7" t="e">
        <f t="shared" si="16"/>
        <v>#DIV/0!</v>
      </c>
    </row>
    <row r="983" spans="1:15" x14ac:dyDescent="0.4">
      <c r="A983" s="1">
        <v>982</v>
      </c>
      <c r="D983" s="2"/>
      <c r="J983" s="2" t="s">
        <v>19</v>
      </c>
      <c r="K983" s="1" t="s">
        <v>20</v>
      </c>
      <c r="M983" s="6"/>
      <c r="N983" s="7"/>
      <c r="O983" s="7" t="e">
        <f t="shared" si="16"/>
        <v>#DIV/0!</v>
      </c>
    </row>
    <row r="984" spans="1:15" x14ac:dyDescent="0.4">
      <c r="A984" s="1">
        <v>983</v>
      </c>
      <c r="D984" s="2"/>
      <c r="J984" s="2" t="s">
        <v>19</v>
      </c>
      <c r="K984" s="1" t="s">
        <v>20</v>
      </c>
      <c r="M984" s="6"/>
      <c r="N984" s="7"/>
      <c r="O984" s="7" t="e">
        <f t="shared" si="16"/>
        <v>#DIV/0!</v>
      </c>
    </row>
    <row r="985" spans="1:15" x14ac:dyDescent="0.4">
      <c r="A985" s="1">
        <v>984</v>
      </c>
      <c r="D985" s="2"/>
      <c r="J985" s="2" t="s">
        <v>19</v>
      </c>
      <c r="K985" s="1" t="s">
        <v>20</v>
      </c>
      <c r="M985" s="6"/>
      <c r="N985" s="7"/>
      <c r="O985" s="7" t="e">
        <f t="shared" si="16"/>
        <v>#DIV/0!</v>
      </c>
    </row>
    <row r="986" spans="1:15" x14ac:dyDescent="0.4">
      <c r="A986" s="1">
        <v>985</v>
      </c>
      <c r="D986" s="2"/>
      <c r="J986" s="2" t="s">
        <v>19</v>
      </c>
      <c r="K986" s="1" t="s">
        <v>20</v>
      </c>
      <c r="M986" s="6"/>
      <c r="N986" s="7"/>
      <c r="O986" s="7" t="e">
        <f t="shared" si="16"/>
        <v>#DIV/0!</v>
      </c>
    </row>
    <row r="987" spans="1:15" x14ac:dyDescent="0.4">
      <c r="A987" s="1">
        <v>986</v>
      </c>
      <c r="D987" s="2"/>
      <c r="J987" s="2" t="s">
        <v>19</v>
      </c>
      <c r="K987" s="1" t="s">
        <v>20</v>
      </c>
      <c r="M987" s="6"/>
      <c r="N987" s="7"/>
      <c r="O987" s="7" t="e">
        <f t="shared" si="16"/>
        <v>#DIV/0!</v>
      </c>
    </row>
    <row r="988" spans="1:15" x14ac:dyDescent="0.4">
      <c r="A988" s="1">
        <v>987</v>
      </c>
      <c r="D988" s="2"/>
      <c r="J988" s="2" t="s">
        <v>19</v>
      </c>
      <c r="K988" s="1" t="s">
        <v>20</v>
      </c>
      <c r="M988" s="6"/>
      <c r="N988" s="7"/>
      <c r="O988" s="7" t="e">
        <f t="shared" si="16"/>
        <v>#DIV/0!</v>
      </c>
    </row>
    <row r="989" spans="1:15" x14ac:dyDescent="0.4">
      <c r="A989" s="1">
        <v>988</v>
      </c>
      <c r="D989" s="2"/>
      <c r="J989" s="2" t="s">
        <v>19</v>
      </c>
      <c r="K989" s="1" t="s">
        <v>20</v>
      </c>
      <c r="M989" s="6"/>
      <c r="N989" s="7"/>
      <c r="O989" s="7" t="e">
        <f t="shared" si="16"/>
        <v>#DIV/0!</v>
      </c>
    </row>
    <row r="990" spans="1:15" x14ac:dyDescent="0.4">
      <c r="A990" s="1">
        <v>989</v>
      </c>
      <c r="D990" s="2"/>
      <c r="J990" s="2" t="s">
        <v>19</v>
      </c>
      <c r="K990" s="1" t="s">
        <v>20</v>
      </c>
      <c r="M990" s="6"/>
      <c r="N990" s="7"/>
      <c r="O990" s="7" t="e">
        <f t="shared" si="16"/>
        <v>#DIV/0!</v>
      </c>
    </row>
    <row r="991" spans="1:15" x14ac:dyDescent="0.4">
      <c r="A991" s="1">
        <v>990</v>
      </c>
      <c r="D991" s="2"/>
      <c r="J991" s="2" t="s">
        <v>19</v>
      </c>
      <c r="K991" s="1" t="s">
        <v>20</v>
      </c>
      <c r="M991" s="6"/>
      <c r="N991" s="7"/>
      <c r="O991" s="7" t="e">
        <f t="shared" si="16"/>
        <v>#DIV/0!</v>
      </c>
    </row>
    <row r="992" spans="1:15" x14ac:dyDescent="0.4">
      <c r="A992" s="1">
        <v>991</v>
      </c>
      <c r="D992" s="2"/>
      <c r="J992" s="2" t="s">
        <v>19</v>
      </c>
      <c r="K992" s="1" t="s">
        <v>20</v>
      </c>
      <c r="M992" s="6"/>
      <c r="N992" s="7"/>
      <c r="O992" s="7" t="e">
        <f t="shared" si="16"/>
        <v>#DIV/0!</v>
      </c>
    </row>
    <row r="993" spans="1:15" x14ac:dyDescent="0.4">
      <c r="A993" s="1">
        <v>992</v>
      </c>
      <c r="D993" s="2"/>
      <c r="J993" s="2" t="s">
        <v>19</v>
      </c>
      <c r="K993" s="1" t="s">
        <v>20</v>
      </c>
      <c r="M993" s="6"/>
      <c r="N993" s="7"/>
      <c r="O993" s="7" t="e">
        <f t="shared" si="16"/>
        <v>#DIV/0!</v>
      </c>
    </row>
    <row r="994" spans="1:15" x14ac:dyDescent="0.4">
      <c r="A994" s="1">
        <v>993</v>
      </c>
      <c r="D994" s="2"/>
      <c r="J994" s="2" t="s">
        <v>19</v>
      </c>
      <c r="K994" s="1" t="s">
        <v>20</v>
      </c>
      <c r="M994" s="6"/>
      <c r="N994" s="7"/>
      <c r="O994" s="7" t="e">
        <f t="shared" si="16"/>
        <v>#DIV/0!</v>
      </c>
    </row>
    <row r="995" spans="1:15" x14ac:dyDescent="0.4">
      <c r="A995" s="1">
        <v>994</v>
      </c>
      <c r="D995" s="2"/>
      <c r="J995" s="2" t="s">
        <v>19</v>
      </c>
      <c r="K995" s="1" t="s">
        <v>20</v>
      </c>
      <c r="M995" s="6"/>
      <c r="N995" s="7"/>
      <c r="O995" s="7" t="e">
        <f t="shared" si="16"/>
        <v>#DIV/0!</v>
      </c>
    </row>
    <row r="996" spans="1:15" x14ac:dyDescent="0.4">
      <c r="A996" s="1">
        <v>995</v>
      </c>
      <c r="D996" s="2"/>
      <c r="J996" s="2" t="s">
        <v>19</v>
      </c>
      <c r="K996" s="1" t="s">
        <v>20</v>
      </c>
      <c r="M996" s="6"/>
      <c r="N996" s="7"/>
      <c r="O996" s="7" t="e">
        <f t="shared" si="16"/>
        <v>#DIV/0!</v>
      </c>
    </row>
    <row r="997" spans="1:15" x14ac:dyDescent="0.4">
      <c r="A997" s="1">
        <v>996</v>
      </c>
      <c r="D997" s="2"/>
      <c r="J997" s="2" t="s">
        <v>19</v>
      </c>
      <c r="K997" s="1" t="s">
        <v>20</v>
      </c>
      <c r="M997" s="6"/>
      <c r="N997" s="7"/>
      <c r="O997" s="7" t="e">
        <f t="shared" si="16"/>
        <v>#DIV/0!</v>
      </c>
    </row>
    <row r="998" spans="1:15" x14ac:dyDescent="0.4">
      <c r="A998" s="1">
        <v>997</v>
      </c>
      <c r="D998" s="2"/>
      <c r="J998" s="2" t="s">
        <v>19</v>
      </c>
      <c r="K998" s="1" t="s">
        <v>20</v>
      </c>
      <c r="M998" s="6"/>
      <c r="N998" s="7"/>
      <c r="O998" s="7" t="e">
        <f t="shared" si="16"/>
        <v>#DIV/0!</v>
      </c>
    </row>
    <row r="999" spans="1:15" x14ac:dyDescent="0.4">
      <c r="M999" s="6">
        <f>SUM(M2:M998)</f>
        <v>1862.6976190476187</v>
      </c>
      <c r="N999" s="7">
        <f>SUM(N2:N998)</f>
        <v>530981</v>
      </c>
      <c r="O999" s="7">
        <f>表_5[[#Totals],[字数]]/表_5[[#Totals],[时长]]</f>
        <v>285.0602237154767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CFC7-E231-4C52-B2C6-57F336A92ED7}">
  <dimension ref="A1:K25"/>
  <sheetViews>
    <sheetView tabSelected="1" workbookViewId="0">
      <selection activeCell="E4" sqref="E4"/>
    </sheetView>
  </sheetViews>
  <sheetFormatPr defaultRowHeight="10.5" x14ac:dyDescent="0.4"/>
  <cols>
    <col min="1" max="1" width="21.73046875" style="10" bestFit="1" customWidth="1"/>
    <col min="2" max="2" width="31.3984375" style="10" bestFit="1" customWidth="1"/>
    <col min="3" max="3" width="16.73046875" style="10" bestFit="1" customWidth="1"/>
    <col min="4" max="4" width="31.59765625" style="10" bestFit="1" customWidth="1"/>
    <col min="5" max="7" width="9.06640625" style="10"/>
    <col min="8" max="8" width="10.796875" style="10" bestFit="1" customWidth="1"/>
    <col min="9" max="9" width="31.3984375" style="10" bestFit="1" customWidth="1"/>
    <col min="10" max="16384" width="9.06640625" style="10"/>
  </cols>
  <sheetData>
    <row r="1" spans="1:11" ht="11.25" x14ac:dyDescent="0.4">
      <c r="A1" s="12" t="s">
        <v>1</v>
      </c>
      <c r="B1" s="10" t="s">
        <v>427</v>
      </c>
      <c r="C1" s="12" t="s">
        <v>3</v>
      </c>
      <c r="D1" s="10" t="s">
        <v>428</v>
      </c>
      <c r="E1" s="12" t="s">
        <v>9</v>
      </c>
      <c r="F1" s="10" t="s">
        <v>429</v>
      </c>
      <c r="G1" s="12" t="s">
        <v>430</v>
      </c>
      <c r="H1" s="12" t="s">
        <v>1</v>
      </c>
      <c r="I1" s="10" t="s">
        <v>427</v>
      </c>
      <c r="J1" s="12" t="s">
        <v>3</v>
      </c>
      <c r="K1" s="10" t="s">
        <v>428</v>
      </c>
    </row>
    <row r="2" spans="1:11" ht="11.25" x14ac:dyDescent="0.4">
      <c r="A2" s="12" t="s">
        <v>262</v>
      </c>
      <c r="B2" s="10" t="s">
        <v>431</v>
      </c>
      <c r="C2" s="12" t="s">
        <v>194</v>
      </c>
      <c r="D2" s="10" t="s">
        <v>195</v>
      </c>
      <c r="E2" s="12" t="s">
        <v>432</v>
      </c>
      <c r="F2" s="10" t="s">
        <v>433</v>
      </c>
      <c r="G2" s="10" t="s">
        <v>434</v>
      </c>
      <c r="H2" s="13" t="s">
        <v>435</v>
      </c>
      <c r="I2" s="10" t="s">
        <v>436</v>
      </c>
    </row>
    <row r="3" spans="1:11" ht="11.25" x14ac:dyDescent="0.4">
      <c r="A3" s="12" t="s">
        <v>58</v>
      </c>
      <c r="B3" s="10" t="s">
        <v>59</v>
      </c>
      <c r="C3" s="12" t="s">
        <v>144</v>
      </c>
      <c r="D3" s="10" t="s">
        <v>122</v>
      </c>
      <c r="E3" s="12" t="s">
        <v>437</v>
      </c>
      <c r="F3" s="10" t="s">
        <v>438</v>
      </c>
      <c r="G3" s="10" t="s">
        <v>439</v>
      </c>
    </row>
    <row r="4" spans="1:11" ht="11.25" x14ac:dyDescent="0.4">
      <c r="A4" s="12" t="s">
        <v>92</v>
      </c>
      <c r="B4" s="10" t="s">
        <v>31</v>
      </c>
      <c r="C4" s="12" t="s">
        <v>112</v>
      </c>
      <c r="D4" s="10" t="s">
        <v>440</v>
      </c>
      <c r="E4" s="12" t="s">
        <v>441</v>
      </c>
      <c r="F4" s="10" t="s">
        <v>442</v>
      </c>
      <c r="G4" s="10" t="s">
        <v>443</v>
      </c>
    </row>
    <row r="5" spans="1:11" ht="11.25" x14ac:dyDescent="0.4">
      <c r="A5" s="12" t="s">
        <v>444</v>
      </c>
      <c r="B5" s="10" t="s">
        <v>445</v>
      </c>
      <c r="C5" s="12" t="s">
        <v>446</v>
      </c>
      <c r="D5" s="10" t="s">
        <v>447</v>
      </c>
      <c r="E5" s="12"/>
      <c r="G5" s="10" t="s">
        <v>448</v>
      </c>
    </row>
    <row r="6" spans="1:11" ht="11.25" x14ac:dyDescent="0.4">
      <c r="A6" s="12" t="s">
        <v>449</v>
      </c>
      <c r="B6" s="10" t="s">
        <v>133</v>
      </c>
      <c r="C6" s="12" t="s">
        <v>450</v>
      </c>
      <c r="D6" s="10" t="s">
        <v>451</v>
      </c>
      <c r="E6" s="12"/>
      <c r="G6" s="10" t="s">
        <v>452</v>
      </c>
    </row>
    <row r="7" spans="1:11" ht="11.25" x14ac:dyDescent="0.4">
      <c r="A7" s="12" t="s">
        <v>453</v>
      </c>
      <c r="B7" s="10" t="s">
        <v>454</v>
      </c>
      <c r="C7" s="12" t="s">
        <v>455</v>
      </c>
      <c r="D7" s="10" t="s">
        <v>456</v>
      </c>
      <c r="E7" s="12"/>
      <c r="G7" s="10" t="s">
        <v>457</v>
      </c>
    </row>
    <row r="8" spans="1:11" ht="11.25" x14ac:dyDescent="0.4">
      <c r="C8" s="12" t="s">
        <v>66</v>
      </c>
      <c r="D8" s="10" t="s">
        <v>67</v>
      </c>
    </row>
    <row r="9" spans="1:11" ht="11.25" x14ac:dyDescent="0.4">
      <c r="C9" s="12" t="s">
        <v>191</v>
      </c>
      <c r="D9" s="10" t="s">
        <v>458</v>
      </c>
    </row>
    <row r="10" spans="1:11" ht="11.25" x14ac:dyDescent="0.4">
      <c r="C10" s="12" t="s">
        <v>459</v>
      </c>
      <c r="D10" s="10" t="s">
        <v>460</v>
      </c>
    </row>
    <row r="11" spans="1:11" ht="11.25" x14ac:dyDescent="0.4">
      <c r="C11" s="12" t="s">
        <v>171</v>
      </c>
      <c r="D11" s="10" t="s">
        <v>172</v>
      </c>
    </row>
    <row r="18" spans="1:1" ht="11.25" x14ac:dyDescent="0.4">
      <c r="A18" s="12"/>
    </row>
    <row r="19" spans="1:1" ht="11.25" x14ac:dyDescent="0.4">
      <c r="A19" s="12"/>
    </row>
    <row r="20" spans="1:1" ht="11.25" x14ac:dyDescent="0.4">
      <c r="A20" s="12"/>
    </row>
    <row r="21" spans="1:1" ht="11.25" x14ac:dyDescent="0.4">
      <c r="A21" s="12"/>
    </row>
    <row r="22" spans="1:1" ht="11.25" x14ac:dyDescent="0.4">
      <c r="A22" s="12"/>
    </row>
    <row r="23" spans="1:1" ht="11.25" x14ac:dyDescent="0.4">
      <c r="A23" s="12"/>
    </row>
    <row r="24" spans="1:1" ht="11.25" x14ac:dyDescent="0.4">
      <c r="A24" s="12"/>
    </row>
    <row r="25" spans="1:1" ht="11.25" x14ac:dyDescent="0.4">
      <c r="A25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一兵 蒋</dc:creator>
  <cp:lastModifiedBy>一兵 蒋</cp:lastModifiedBy>
  <dcterms:created xsi:type="dcterms:W3CDTF">2026-02-28T06:31:57Z</dcterms:created>
  <dcterms:modified xsi:type="dcterms:W3CDTF">2026-02-28T06:33:55Z</dcterms:modified>
</cp:coreProperties>
</file>